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FTDI_USB3\References\"/>
    </mc:Choice>
  </mc:AlternateContent>
  <xr:revisionPtr revIDLastSave="0" documentId="13_ncr:1_{E211C0CE-490A-4D66-B932-1DC68DB8DF72}" xr6:coauthVersionLast="44" xr6:coauthVersionMax="44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4" i="1" l="1"/>
  <c r="Z4" i="1"/>
  <c r="X4" i="1"/>
  <c r="W4" i="1"/>
  <c r="U4" i="1"/>
  <c r="V4" i="1" l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2" i="1" l="1"/>
  <c r="R40" i="1"/>
  <c r="R11" i="1"/>
  <c r="R87" i="1"/>
  <c r="R83" i="1"/>
  <c r="R79" i="1"/>
  <c r="R75" i="1"/>
  <c r="R71" i="1"/>
  <c r="R67" i="1"/>
  <c r="R63" i="1"/>
  <c r="R59" i="1"/>
  <c r="R55" i="1"/>
  <c r="R51" i="1"/>
  <c r="R47" i="1"/>
  <c r="R43" i="1"/>
  <c r="R31" i="1"/>
  <c r="R23" i="1"/>
  <c r="R19" i="1"/>
  <c r="R10" i="1"/>
  <c r="R80" i="1"/>
  <c r="R68" i="1"/>
  <c r="R52" i="1"/>
  <c r="R20" i="1"/>
  <c r="R4" i="1"/>
  <c r="R17" i="1"/>
  <c r="R9" i="1"/>
  <c r="R78" i="1"/>
  <c r="R70" i="1"/>
  <c r="R22" i="1"/>
  <c r="R8" i="1"/>
  <c r="R85" i="1"/>
  <c r="R73" i="1"/>
  <c r="R57" i="1"/>
  <c r="R49" i="1"/>
  <c r="R14" i="1"/>
  <c r="R13" i="1"/>
  <c r="R76" i="1"/>
  <c r="R64" i="1"/>
  <c r="R48" i="1"/>
  <c r="R32" i="1"/>
  <c r="R12" i="1"/>
  <c r="R86" i="1"/>
  <c r="R74" i="1"/>
  <c r="R42" i="1"/>
  <c r="R18" i="1"/>
  <c r="R16" i="1"/>
  <c r="R15" i="1"/>
  <c r="R81" i="1"/>
  <c r="R65" i="1"/>
  <c r="R53" i="1"/>
  <c r="R41" i="1"/>
  <c r="R21" i="1"/>
  <c r="R84" i="1"/>
  <c r="R60" i="1"/>
  <c r="R44" i="1"/>
  <c r="R7" i="1"/>
  <c r="R7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7" i="1" l="1"/>
  <c r="AA7" i="1" s="1"/>
  <c r="X7" i="1"/>
  <c r="AB7" i="1" s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D7" i="1" l="1"/>
  <c r="AC7" i="1"/>
  <c r="AE7" i="1"/>
  <c r="X8" i="1"/>
  <c r="AB8" i="1" s="1"/>
  <c r="W8" i="1"/>
  <c r="Y8" i="1"/>
  <c r="Z8" i="1"/>
  <c r="AD8" i="1" s="1"/>
  <c r="AF7" i="1"/>
  <c r="S9" i="1"/>
  <c r="U8" i="1"/>
  <c r="V8" i="1" s="1"/>
  <c r="T8" i="1"/>
  <c r="AF6" i="1"/>
  <c r="AB6" i="1"/>
  <c r="AC8" i="1"/>
  <c r="AG8" i="1"/>
  <c r="AH8" i="1" l="1"/>
  <c r="AF8" i="1"/>
  <c r="T9" i="1"/>
  <c r="W9" i="1"/>
  <c r="X9" i="1"/>
  <c r="Y9" i="1"/>
  <c r="Z9" i="1"/>
  <c r="AH9" i="1" s="1"/>
  <c r="S10" i="1"/>
  <c r="U9" i="1"/>
  <c r="V9" i="1" s="1"/>
  <c r="AA8" i="1"/>
  <c r="AE8" i="1"/>
  <c r="AE6" i="1"/>
  <c r="AA6" i="1"/>
  <c r="AD9" i="1" l="1"/>
  <c r="T10" i="1"/>
  <c r="W10" i="1"/>
  <c r="X10" i="1"/>
  <c r="Y10" i="1"/>
  <c r="AG10" i="1" s="1"/>
  <c r="Z10" i="1"/>
  <c r="AH10" i="1" s="1"/>
  <c r="S11" i="1"/>
  <c r="U10" i="1"/>
  <c r="V10" i="1" s="1"/>
  <c r="AC10" i="1"/>
  <c r="AG9" i="1"/>
  <c r="AC9" i="1"/>
  <c r="AD10" i="1" l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H11" i="1" l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12" i="1" l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D13" i="1" l="1"/>
  <c r="X14" i="1"/>
  <c r="AF14" i="1" s="1"/>
  <c r="W14" i="1"/>
  <c r="Y14" i="1"/>
  <c r="AG14" i="1" s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C14" i="1" l="1"/>
  <c r="AD14" i="1"/>
  <c r="T15" i="1"/>
  <c r="W15" i="1"/>
  <c r="AE15" i="1" s="1"/>
  <c r="X15" i="1"/>
  <c r="AF15" i="1" s="1"/>
  <c r="Y15" i="1"/>
  <c r="AG15" i="1" s="1"/>
  <c r="Z15" i="1"/>
  <c r="AD15" i="1" s="1"/>
  <c r="AB14" i="1"/>
  <c r="S16" i="1"/>
  <c r="U15" i="1"/>
  <c r="V15" i="1" s="1"/>
  <c r="AF13" i="1"/>
  <c r="AB13" i="1"/>
  <c r="AB15" i="1"/>
  <c r="AA12" i="1"/>
  <c r="AE12" i="1"/>
  <c r="AH15" i="1"/>
  <c r="AA15" i="1" l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AH16" i="1" l="1"/>
  <c r="W17" i="1"/>
  <c r="X17" i="1"/>
  <c r="Y17" i="1"/>
  <c r="Z17" i="1"/>
  <c r="AD17" i="1" s="1"/>
  <c r="S18" i="1"/>
  <c r="U17" i="1"/>
  <c r="V17" i="1" s="1"/>
  <c r="T17" i="1"/>
  <c r="AG16" i="1"/>
  <c r="AC16" i="1"/>
  <c r="AH17" i="1" l="1"/>
  <c r="W18" i="1"/>
  <c r="X18" i="1"/>
  <c r="Y18" i="1"/>
  <c r="Z18" i="1"/>
  <c r="AH18" i="1" s="1"/>
  <c r="S19" i="1"/>
  <c r="U18" i="1"/>
  <c r="V18" i="1" s="1"/>
  <c r="T18" i="1"/>
  <c r="AF16" i="1"/>
  <c r="AB16" i="1"/>
  <c r="AG17" i="1"/>
  <c r="AC17" i="1"/>
  <c r="AD18" i="1" l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H19" i="1" l="1"/>
  <c r="T20" i="1"/>
  <c r="X20" i="1"/>
  <c r="W20" i="1"/>
  <c r="Y20" i="1"/>
  <c r="Z20" i="1"/>
  <c r="S21" i="1"/>
  <c r="U20" i="1"/>
  <c r="V20" i="1" s="1"/>
  <c r="AG19" i="1"/>
  <c r="AC19" i="1"/>
  <c r="AE17" i="1"/>
  <c r="AA17" i="1"/>
  <c r="AB18" i="1"/>
  <c r="AF18" i="1"/>
  <c r="AH20" i="1"/>
  <c r="AD20" i="1"/>
  <c r="W21" i="1" l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AD21" i="1" l="1"/>
  <c r="W22" i="1"/>
  <c r="X22" i="1"/>
  <c r="Y22" i="1"/>
  <c r="Z22" i="1"/>
  <c r="S23" i="1"/>
  <c r="U22" i="1"/>
  <c r="V22" i="1" s="1"/>
  <c r="T22" i="1"/>
  <c r="AC21" i="1"/>
  <c r="AG21" i="1"/>
  <c r="AB20" i="1"/>
  <c r="AF20" i="1"/>
  <c r="AE19" i="1"/>
  <c r="AA19" i="1"/>
  <c r="AH22" i="1"/>
  <c r="AD22" i="1"/>
  <c r="W23" i="1" l="1"/>
  <c r="X23" i="1"/>
  <c r="AB23" i="1" s="1"/>
  <c r="Y23" i="1"/>
  <c r="AC23" i="1" s="1"/>
  <c r="Z23" i="1"/>
  <c r="AD23" i="1" s="1"/>
  <c r="S24" i="1"/>
  <c r="U23" i="1"/>
  <c r="V23" i="1" s="1"/>
  <c r="T23" i="1"/>
  <c r="AF21" i="1"/>
  <c r="AB21" i="1"/>
  <c r="AE20" i="1"/>
  <c r="AA20" i="1"/>
  <c r="AH23" i="1"/>
  <c r="AG22" i="1"/>
  <c r="AC22" i="1"/>
  <c r="AG23" i="1" l="1"/>
  <c r="AF23" i="1"/>
  <c r="T24" i="1"/>
  <c r="W24" i="1"/>
  <c r="X24" i="1"/>
  <c r="Y24" i="1"/>
  <c r="AG24" i="1" s="1"/>
  <c r="Z24" i="1"/>
  <c r="AH24" i="1" s="1"/>
  <c r="S25" i="1"/>
  <c r="U24" i="1"/>
  <c r="V24" i="1" s="1"/>
  <c r="AE21" i="1"/>
  <c r="AA21" i="1"/>
  <c r="AA23" i="1"/>
  <c r="AE23" i="1"/>
  <c r="AF22" i="1"/>
  <c r="AB22" i="1"/>
  <c r="AD24" i="1" l="1"/>
  <c r="AC24" i="1"/>
  <c r="T25" i="1"/>
  <c r="W25" i="1"/>
  <c r="X25" i="1"/>
  <c r="Y25" i="1"/>
  <c r="Z25" i="1"/>
  <c r="AD25" i="1" s="1"/>
  <c r="S26" i="1"/>
  <c r="U25" i="1"/>
  <c r="V25" i="1" s="1"/>
  <c r="AH25" i="1"/>
  <c r="AE22" i="1"/>
  <c r="AA22" i="1"/>
  <c r="AB24" i="1"/>
  <c r="AF24" i="1"/>
  <c r="X26" i="1" l="1"/>
  <c r="W26" i="1"/>
  <c r="Y26" i="1"/>
  <c r="Z26" i="1"/>
  <c r="AH26" i="1" s="1"/>
  <c r="S27" i="1"/>
  <c r="U26" i="1"/>
  <c r="V26" i="1" s="1"/>
  <c r="T26" i="1"/>
  <c r="AA24" i="1"/>
  <c r="AE24" i="1"/>
  <c r="AD26" i="1" l="1"/>
  <c r="T27" i="1"/>
  <c r="W27" i="1"/>
  <c r="X27" i="1"/>
  <c r="Y27" i="1"/>
  <c r="AG27" i="1" s="1"/>
  <c r="Z27" i="1"/>
  <c r="AD27" i="1" s="1"/>
  <c r="S28" i="1"/>
  <c r="U27" i="1"/>
  <c r="V27" i="1" s="1"/>
  <c r="AG25" i="1"/>
  <c r="AC25" i="1"/>
  <c r="AH27" i="1"/>
  <c r="W28" i="1" l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W29" i="1" l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D29" i="1" l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T31" i="1" l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H31" i="1"/>
  <c r="AA31" i="1" l="1"/>
  <c r="AB31" i="1"/>
  <c r="AC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F32" i="1" l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H33" i="1" l="1"/>
  <c r="T34" i="1"/>
  <c r="W34" i="1"/>
  <c r="AE34" i="1" s="1"/>
  <c r="Z34" i="1"/>
  <c r="AH34" i="1" s="1"/>
  <c r="X34" i="1"/>
  <c r="AF34" i="1" s="1"/>
  <c r="Y34" i="1"/>
  <c r="AG34" i="1" s="1"/>
  <c r="S35" i="1"/>
  <c r="U34" i="1"/>
  <c r="V34" i="1" s="1"/>
  <c r="AF30" i="1"/>
  <c r="AB30" i="1"/>
  <c r="AG33" i="1"/>
  <c r="AC33" i="1"/>
  <c r="AA34" i="1" l="1"/>
  <c r="AB34" i="1"/>
  <c r="AD34" i="1"/>
  <c r="T35" i="1"/>
  <c r="W35" i="1"/>
  <c r="X35" i="1"/>
  <c r="Y35" i="1"/>
  <c r="AG35" i="1" s="1"/>
  <c r="Z35" i="1"/>
  <c r="AD35" i="1" s="1"/>
  <c r="AC34" i="1"/>
  <c r="S36" i="1"/>
  <c r="U35" i="1"/>
  <c r="V35" i="1" s="1"/>
  <c r="AE30" i="1"/>
  <c r="AA30" i="1"/>
  <c r="AF33" i="1"/>
  <c r="AB33" i="1"/>
  <c r="AC35" i="1"/>
  <c r="AH35" i="1" l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H40" i="1"/>
  <c r="AE37" i="1"/>
  <c r="AA37" i="1"/>
  <c r="T41" i="1" l="1"/>
  <c r="W41" i="1"/>
  <c r="AA41" i="1" s="1"/>
  <c r="X41" i="1"/>
  <c r="AB41" i="1" s="1"/>
  <c r="Y41" i="1"/>
  <c r="AG41" i="1" s="1"/>
  <c r="Z41" i="1"/>
  <c r="AD41" i="1" s="1"/>
  <c r="S42" i="1"/>
  <c r="U41" i="1"/>
  <c r="V41" i="1" s="1"/>
  <c r="AC40" i="1"/>
  <c r="AG40" i="1"/>
  <c r="AF39" i="1"/>
  <c r="AB39" i="1"/>
  <c r="AC38" i="1"/>
  <c r="AG38" i="1"/>
  <c r="AH41" i="1" l="1"/>
  <c r="AE41" i="1"/>
  <c r="AC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D43" i="1" s="1"/>
  <c r="S44" i="1"/>
  <c r="U43" i="1"/>
  <c r="V43" i="1" s="1"/>
  <c r="T43" i="1"/>
  <c r="AB42" i="1"/>
  <c r="AF42" i="1"/>
  <c r="AE38" i="1"/>
  <c r="AA38" i="1"/>
  <c r="AA40" i="1"/>
  <c r="AE40" i="1"/>
  <c r="AH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/>
  <c r="T47" i="1" l="1"/>
  <c r="W47" i="1"/>
  <c r="Y47" i="1"/>
  <c r="X47" i="1"/>
  <c r="Z47" i="1"/>
  <c r="S48" i="1"/>
  <c r="U47" i="1"/>
  <c r="V47" i="1" s="1"/>
  <c r="AF45" i="1"/>
  <c r="AB45" i="1"/>
  <c r="AC46" i="1"/>
  <c r="AG46" i="1"/>
  <c r="AE44" i="1"/>
  <c r="AA44" i="1"/>
  <c r="AH47" i="1"/>
  <c r="AD47" i="1"/>
  <c r="T48" i="1" l="1"/>
  <c r="W48" i="1"/>
  <c r="X48" i="1"/>
  <c r="Y48" i="1"/>
  <c r="AC48" i="1" s="1"/>
  <c r="Z48" i="1"/>
  <c r="AH48" i="1" s="1"/>
  <c r="S49" i="1"/>
  <c r="U48" i="1"/>
  <c r="V48" i="1" s="1"/>
  <c r="AC47" i="1"/>
  <c r="AG47" i="1"/>
  <c r="AB46" i="1"/>
  <c r="AF46" i="1"/>
  <c r="AE45" i="1"/>
  <c r="AA45" i="1"/>
  <c r="AD48" i="1" l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D51" i="1" s="1"/>
  <c r="S52" i="1"/>
  <c r="U51" i="1"/>
  <c r="V51" i="1" s="1"/>
  <c r="T51" i="1"/>
  <c r="AC50" i="1"/>
  <c r="AG50" i="1"/>
  <c r="AB49" i="1"/>
  <c r="AF49" i="1"/>
  <c r="AH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D54" i="1" s="1"/>
  <c r="S55" i="1"/>
  <c r="U54" i="1"/>
  <c r="V54" i="1" s="1"/>
  <c r="T54" i="1"/>
  <c r="AE51" i="1"/>
  <c r="AA51" i="1"/>
  <c r="AF52" i="1"/>
  <c r="AB52" i="1"/>
  <c r="AB53" i="1"/>
  <c r="AF53" i="1"/>
  <c r="AH54" i="1" l="1"/>
  <c r="W55" i="1"/>
  <c r="X55" i="1"/>
  <c r="Y55" i="1"/>
  <c r="Z55" i="1"/>
  <c r="AH55" i="1" s="1"/>
  <c r="S56" i="1"/>
  <c r="U55" i="1"/>
  <c r="V55" i="1" s="1"/>
  <c r="T55" i="1"/>
  <c r="AA53" i="1"/>
  <c r="AE53" i="1"/>
  <c r="AG54" i="1"/>
  <c r="AC54" i="1"/>
  <c r="AE52" i="1"/>
  <c r="AA52" i="1"/>
  <c r="AD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G57" i="1"/>
  <c r="AF57" i="1"/>
  <c r="W58" i="1"/>
  <c r="X58" i="1"/>
  <c r="Y58" i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G58" i="1" l="1"/>
  <c r="AC58" i="1"/>
  <c r="AH58" i="1"/>
  <c r="W59" i="1"/>
  <c r="AE59" i="1" s="1"/>
  <c r="Y59" i="1"/>
  <c r="AC59" i="1" s="1"/>
  <c r="X59" i="1"/>
  <c r="AF59" i="1" s="1"/>
  <c r="Z59" i="1"/>
  <c r="AH59" i="1" s="1"/>
  <c r="S60" i="1"/>
  <c r="U59" i="1"/>
  <c r="V59" i="1" s="1"/>
  <c r="T59" i="1"/>
  <c r="AF58" i="1"/>
  <c r="AB58" i="1"/>
  <c r="AE56" i="1"/>
  <c r="AA56" i="1"/>
  <c r="AD59" i="1" l="1"/>
  <c r="AA59" i="1"/>
  <c r="AG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H69" i="1" s="1"/>
  <c r="T69" i="1"/>
  <c r="S70" i="1"/>
  <c r="U69" i="1"/>
  <c r="V69" i="1" s="1"/>
  <c r="AE66" i="1"/>
  <c r="AA66" i="1"/>
  <c r="AC68" i="1"/>
  <c r="AG68" i="1"/>
  <c r="AF67" i="1"/>
  <c r="AB67" i="1"/>
  <c r="AD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AH72" i="1" s="1"/>
  <c r="X72" i="1"/>
  <c r="S73" i="1"/>
  <c r="U72" i="1"/>
  <c r="V72" i="1" s="1"/>
  <c r="AA69" i="1"/>
  <c r="AE69" i="1"/>
  <c r="AC71" i="1"/>
  <c r="AG71" i="1"/>
  <c r="AF70" i="1"/>
  <c r="AB70" i="1"/>
  <c r="AD72" i="1" l="1"/>
  <c r="W73" i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AC74" i="1" s="1"/>
  <c r="Z74" i="1"/>
  <c r="AH74" i="1" s="1"/>
  <c r="AH73" i="1"/>
  <c r="S75" i="1"/>
  <c r="U74" i="1"/>
  <c r="V74" i="1" s="1"/>
  <c r="AB72" i="1"/>
  <c r="AF72" i="1"/>
  <c r="AC73" i="1"/>
  <c r="AG73" i="1"/>
  <c r="AA71" i="1"/>
  <c r="AE71" i="1"/>
  <c r="AD74" i="1" l="1"/>
  <c r="W75" i="1"/>
  <c r="Y75" i="1"/>
  <c r="X75" i="1"/>
  <c r="Z75" i="1"/>
  <c r="AD75" i="1" s="1"/>
  <c r="AG74" i="1"/>
  <c r="S76" i="1"/>
  <c r="U75" i="1"/>
  <c r="V75" i="1" s="1"/>
  <c r="T75" i="1"/>
  <c r="AB73" i="1"/>
  <c r="AF73" i="1"/>
  <c r="AE72" i="1"/>
  <c r="AA72" i="1"/>
  <c r="AH75" i="1" l="1"/>
  <c r="W76" i="1"/>
  <c r="Z76" i="1"/>
  <c r="AH76" i="1" s="1"/>
  <c r="X76" i="1"/>
  <c r="Y76" i="1"/>
  <c r="AF74" i="1"/>
  <c r="AB74" i="1"/>
  <c r="S77" i="1"/>
  <c r="U76" i="1"/>
  <c r="V76" i="1" s="1"/>
  <c r="T76" i="1"/>
  <c r="AC75" i="1"/>
  <c r="AG75" i="1"/>
  <c r="AA73" i="1"/>
  <c r="AE73" i="1"/>
  <c r="AD76" i="1" l="1"/>
  <c r="T77" i="1"/>
  <c r="W77" i="1"/>
  <c r="X77" i="1"/>
  <c r="Y77" i="1"/>
  <c r="Z77" i="1"/>
  <c r="AH77" i="1" s="1"/>
  <c r="AE74" i="1"/>
  <c r="AA74" i="1"/>
  <c r="S78" i="1"/>
  <c r="U77" i="1"/>
  <c r="V77" i="1" s="1"/>
  <c r="AG76" i="1"/>
  <c r="AC76" i="1"/>
  <c r="AF75" i="1"/>
  <c r="AB75" i="1"/>
  <c r="AD77" i="1" l="1"/>
  <c r="W78" i="1"/>
  <c r="X78" i="1"/>
  <c r="Z78" i="1"/>
  <c r="AD78" i="1" s="1"/>
  <c r="Y78" i="1"/>
  <c r="AC78" i="1" s="1"/>
  <c r="S79" i="1"/>
  <c r="U78" i="1"/>
  <c r="V78" i="1" s="1"/>
  <c r="T78" i="1"/>
  <c r="AE75" i="1"/>
  <c r="AA75" i="1"/>
  <c r="AF76" i="1"/>
  <c r="AB76" i="1"/>
  <c r="AC77" i="1"/>
  <c r="AG77" i="1"/>
  <c r="AG78" i="1" l="1"/>
  <c r="AH78" i="1"/>
  <c r="W79" i="1"/>
  <c r="Y79" i="1"/>
  <c r="AG79" i="1" s="1"/>
  <c r="X79" i="1"/>
  <c r="AF79" i="1" s="1"/>
  <c r="Z79" i="1"/>
  <c r="AD79" i="1" s="1"/>
  <c r="S80" i="1"/>
  <c r="U79" i="1"/>
  <c r="V79" i="1" s="1"/>
  <c r="T79" i="1"/>
  <c r="AA76" i="1"/>
  <c r="AE76" i="1"/>
  <c r="AF77" i="1"/>
  <c r="AB77" i="1"/>
  <c r="AB78" i="1"/>
  <c r="AF78" i="1"/>
  <c r="AH79" i="1" l="1"/>
  <c r="AC79" i="1"/>
  <c r="AB79" i="1"/>
  <c r="W80" i="1"/>
  <c r="X80" i="1"/>
  <c r="Y80" i="1"/>
  <c r="Z80" i="1"/>
  <c r="AH80" i="1" s="1"/>
  <c r="S81" i="1"/>
  <c r="U80" i="1"/>
  <c r="V80" i="1" s="1"/>
  <c r="T80" i="1"/>
  <c r="AE78" i="1"/>
  <c r="AA78" i="1"/>
  <c r="AA77" i="1"/>
  <c r="AE77" i="1"/>
  <c r="AA79" i="1"/>
  <c r="AE79" i="1"/>
  <c r="AD80" i="1" l="1"/>
  <c r="T81" i="1"/>
  <c r="W81" i="1"/>
  <c r="Y81" i="1"/>
  <c r="X81" i="1"/>
  <c r="Z81" i="1"/>
  <c r="AH81" i="1" s="1"/>
  <c r="S82" i="1"/>
  <c r="U81" i="1"/>
  <c r="V81" i="1" s="1"/>
  <c r="AG80" i="1"/>
  <c r="AC80" i="1"/>
  <c r="AD81" i="1" l="1"/>
  <c r="W82" i="1"/>
  <c r="Z82" i="1"/>
  <c r="AD82" i="1" s="1"/>
  <c r="X82" i="1"/>
  <c r="Y82" i="1"/>
  <c r="S83" i="1"/>
  <c r="U82" i="1"/>
  <c r="V82" i="1" s="1"/>
  <c r="T82" i="1"/>
  <c r="AF80" i="1"/>
  <c r="AB80" i="1"/>
  <c r="AC81" i="1"/>
  <c r="AG81" i="1"/>
  <c r="AH82" i="1" l="1"/>
  <c r="T83" i="1"/>
  <c r="W83" i="1"/>
  <c r="X83" i="1"/>
  <c r="Y83" i="1"/>
  <c r="Z83" i="1"/>
  <c r="S84" i="1"/>
  <c r="U83" i="1"/>
  <c r="V83" i="1" s="1"/>
  <c r="AC82" i="1"/>
  <c r="AG82" i="1"/>
  <c r="AB81" i="1"/>
  <c r="AF81" i="1"/>
  <c r="AA80" i="1"/>
  <c r="AE80" i="1"/>
  <c r="AD83" i="1"/>
  <c r="AH83" i="1"/>
  <c r="W84" i="1" l="1"/>
  <c r="Y84" i="1"/>
  <c r="X84" i="1"/>
  <c r="Z84" i="1"/>
  <c r="AH84" i="1" s="1"/>
  <c r="S85" i="1"/>
  <c r="U84" i="1"/>
  <c r="V84" i="1" s="1"/>
  <c r="T84" i="1"/>
  <c r="AA81" i="1"/>
  <c r="AE81" i="1"/>
  <c r="AB82" i="1"/>
  <c r="AF82" i="1"/>
  <c r="AG83" i="1"/>
  <c r="AC83" i="1"/>
  <c r="T85" i="1" l="1"/>
  <c r="W85" i="1"/>
  <c r="Y85" i="1"/>
  <c r="X85" i="1"/>
  <c r="Z85" i="1"/>
  <c r="AD85" i="1" s="1"/>
  <c r="AD84" i="1"/>
  <c r="S86" i="1"/>
  <c r="U85" i="1"/>
  <c r="V85" i="1" s="1"/>
  <c r="AF83" i="1"/>
  <c r="AB83" i="1"/>
  <c r="AG84" i="1"/>
  <c r="AC84" i="1"/>
  <c r="AE82" i="1"/>
  <c r="AA82" i="1"/>
  <c r="AH85" i="1" l="1"/>
  <c r="W86" i="1"/>
  <c r="X86" i="1"/>
  <c r="Y86" i="1"/>
  <c r="Z86" i="1"/>
  <c r="AD86" i="1" s="1"/>
  <c r="S87" i="1"/>
  <c r="U86" i="1"/>
  <c r="V86" i="1" s="1"/>
  <c r="T86" i="1"/>
  <c r="AA83" i="1"/>
  <c r="AE83" i="1"/>
  <c r="AB84" i="1"/>
  <c r="AF84" i="1"/>
  <c r="AG85" i="1"/>
  <c r="AC85" i="1"/>
  <c r="W87" i="1" l="1"/>
  <c r="Y87" i="1"/>
  <c r="X87" i="1"/>
  <c r="Z87" i="1"/>
  <c r="AH87" i="1" s="1"/>
  <c r="AH86" i="1"/>
  <c r="U87" i="1"/>
  <c r="V87" i="1" s="1"/>
  <c r="T87" i="1"/>
  <c r="AE84" i="1"/>
  <c r="AA84" i="1"/>
  <c r="AB85" i="1"/>
  <c r="AF85" i="1"/>
  <c r="AG86" i="1"/>
  <c r="AC86" i="1"/>
  <c r="AD87" i="1" l="1"/>
  <c r="AF86" i="1"/>
  <c r="AB86" i="1"/>
  <c r="AG87" i="1"/>
  <c r="AC87" i="1"/>
  <c r="AE85" i="1"/>
  <c r="AA85" i="1"/>
  <c r="AB87" i="1" l="1"/>
  <c r="AF87" i="1"/>
  <c r="AE86" i="1"/>
  <c r="AA86" i="1"/>
  <c r="AA87" i="1" l="1"/>
  <c r="AE87" i="1"/>
</calcChain>
</file>

<file path=xl/sharedStrings.xml><?xml version="1.0" encoding="utf-8"?>
<sst xmlns="http://schemas.openxmlformats.org/spreadsheetml/2006/main" count="2345" uniqueCount="1033">
  <si>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</si>
  <si>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</si>
  <si>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</si>
  <si>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</si>
  <si>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</si>
  <si>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</si>
  <si>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</si>
  <si>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</si>
  <si>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</si>
  <si>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</si>
  <si>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</si>
  <si>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</si>
  <si>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</si>
  <si>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</si>
  <si>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</si>
  <si>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</si>
  <si>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</si>
  <si>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</si>
  <si>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</si>
  <si>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</si>
  <si>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</si>
  <si>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</si>
  <si>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</si>
  <si>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</si>
  <si>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</si>
  <si>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</si>
  <si>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</si>
  <si>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</si>
  <si>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</si>
  <si>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</si>
  <si>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</si>
  <si>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</si>
  <si>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</si>
  <si>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</si>
  <si>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</si>
  <si>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</si>
  <si>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</si>
  <si>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</si>
  <si>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</si>
  <si>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</si>
  <si>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</si>
  <si>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</si>
  <si>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</si>
  <si>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</si>
  <si>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</si>
  <si>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</si>
  <si>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</si>
  <si>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</si>
  <si>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</si>
  <si>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</si>
  <si>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</si>
  <si>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</si>
  <si>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</si>
  <si>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</si>
  <si>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</si>
  <si>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</si>
  <si>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</si>
  <si>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</si>
  <si>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</si>
  <si>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</si>
  <si>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</si>
  <si>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</si>
  <si>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</si>
  <si>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</si>
  <si>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</si>
  <si>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</si>
  <si>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</si>
  <si>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</si>
  <si>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</si>
  <si>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</si>
  <si>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</si>
  <si>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</si>
  <si>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</si>
  <si>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</si>
  <si>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</si>
  <si>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</si>
  <si>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</si>
  <si>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</si>
  <si>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</si>
  <si>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</si>
  <si>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</si>
  <si>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</si>
  <si>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</si>
  <si>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</si>
  <si>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</si>
  <si>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</si>
  <si>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</si>
  <si>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</si>
  <si>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</si>
  <si>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</si>
  <si>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</si>
  <si>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</si>
  <si>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</si>
  <si>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</si>
  <si>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</si>
  <si>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</si>
  <si>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</si>
  <si>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</si>
  <si>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</si>
  <si>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</si>
  <si>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</si>
  <si>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</si>
  <si>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</si>
  <si>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</si>
  <si>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</si>
  <si>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</si>
  <si>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</si>
  <si>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</si>
  <si>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</si>
  <si>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</si>
  <si>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</si>
  <si>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</si>
  <si>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</si>
  <si>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</si>
  <si>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</si>
  <si>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</si>
  <si>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</si>
  <si>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</si>
  <si>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</si>
  <si>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</si>
  <si>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</si>
  <si>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</si>
  <si>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</si>
  <si>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</si>
  <si>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</si>
  <si>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</si>
  <si>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</si>
  <si>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</si>
  <si>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</si>
  <si>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</si>
  <si>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</si>
  <si>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</si>
  <si>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</si>
  <si>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</si>
  <si>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</si>
  <si>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</si>
  <si>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</si>
  <si>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</si>
  <si>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</si>
  <si>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</si>
  <si>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</si>
  <si>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</si>
  <si>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</si>
  <si>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</si>
  <si>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</si>
  <si>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</si>
  <si>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</si>
  <si>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</si>
  <si>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</si>
  <si>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</si>
  <si>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</si>
  <si>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</si>
  <si>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</si>
  <si>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</si>
  <si>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</si>
  <si>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</si>
  <si>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</si>
  <si>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</si>
  <si>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</si>
  <si>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</si>
  <si>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</si>
  <si>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</si>
  <si>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</si>
  <si>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</si>
  <si>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</si>
  <si>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</si>
  <si>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</si>
  <si>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</si>
  <si>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</si>
  <si>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</si>
  <si>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</si>
  <si>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</si>
  <si>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</si>
  <si>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</si>
  <si>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</si>
  <si>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</si>
  <si>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</si>
  <si>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</si>
  <si>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</si>
  <si>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</si>
  <si>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</si>
  <si>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</si>
  <si>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</si>
  <si>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</si>
  <si>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</si>
  <si>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</si>
  <si>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</si>
  <si>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</si>
  <si>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</si>
  <si>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</si>
  <si>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</si>
  <si>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</si>
  <si>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</si>
  <si>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</si>
  <si>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</si>
  <si>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</si>
  <si>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</si>
  <si>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</si>
  <si>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</si>
  <si>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</si>
  <si>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</si>
  <si>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</si>
  <si>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</si>
  <si>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</si>
  <si>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</si>
  <si>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</si>
  <si>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</si>
  <si>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</si>
  <si>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</si>
  <si>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</si>
  <si>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</si>
  <si>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</si>
  <si>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</si>
  <si>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</si>
  <si>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</si>
  <si>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</si>
  <si>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</si>
  <si>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</si>
  <si>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</si>
  <si>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</si>
  <si>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</si>
  <si>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</si>
  <si>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</si>
  <si>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</si>
  <si>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</si>
  <si>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</si>
  <si>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</si>
  <si>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</si>
  <si>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</si>
  <si>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</si>
  <si>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</si>
  <si>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</si>
  <si>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</si>
  <si>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</si>
  <si>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</si>
  <si>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</si>
  <si>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</si>
  <si>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</si>
  <si>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</si>
  <si>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</si>
  <si>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</si>
  <si>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</si>
  <si>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</si>
  <si>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</si>
  <si>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</si>
  <si>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</si>
  <si>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</si>
  <si>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</si>
  <si>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</si>
  <si>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</si>
  <si>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</si>
  <si>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</si>
  <si>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</si>
  <si>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</si>
  <si>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</si>
  <si>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</si>
  <si>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</si>
  <si>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</si>
  <si>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</si>
  <si>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</si>
  <si>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</si>
  <si>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</si>
  <si>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</si>
  <si>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</si>
  <si>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</si>
  <si>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</si>
  <si>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</si>
  <si>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</si>
  <si>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</si>
  <si>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</si>
  <si>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</si>
  <si>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</si>
  <si>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</si>
  <si>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</si>
  <si>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</si>
  <si>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</si>
  <si>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</si>
  <si>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</si>
  <si>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</si>
  <si>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</si>
  <si>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</si>
  <si>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</si>
  <si>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</si>
  <si>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</si>
  <si>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</si>
  <si>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</si>
  <si>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</si>
  <si>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</si>
  <si>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</si>
  <si>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</si>
  <si>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</si>
  <si>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</si>
  <si>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</si>
  <si>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</si>
  <si>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</si>
  <si>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</si>
  <si>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</si>
  <si>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</si>
  <si>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</si>
  <si>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</si>
  <si>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</si>
  <si>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</si>
  <si>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</si>
  <si>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</si>
  <si>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</si>
  <si>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</si>
  <si>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</si>
  <si>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</si>
  <si>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</si>
  <si>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</si>
  <si>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</si>
  <si>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</si>
  <si>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</si>
  <si>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</si>
  <si>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</si>
  <si>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</si>
  <si>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</si>
  <si>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</si>
  <si>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</si>
  <si>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</si>
  <si>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</si>
  <si>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</si>
  <si>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</si>
  <si>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</si>
  <si>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</si>
  <si>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</si>
  <si>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</si>
  <si>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</si>
  <si>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</si>
  <si>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</si>
  <si>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</si>
  <si>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</si>
  <si>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</si>
  <si>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</si>
  <si>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</si>
  <si>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</si>
  <si>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</si>
  <si>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</si>
  <si>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</si>
  <si>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</si>
  <si>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</si>
  <si>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</si>
  <si>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</si>
  <si>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</si>
  <si>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</si>
  <si>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</si>
  <si>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</si>
  <si>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</si>
  <si>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</si>
  <si>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</si>
  <si>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</si>
  <si>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</si>
  <si>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</si>
  <si>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</si>
  <si>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</si>
  <si>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</si>
  <si>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</si>
  <si>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</si>
  <si>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</si>
  <si>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</si>
  <si>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</si>
  <si>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</si>
  <si>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</si>
  <si>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</si>
  <si>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</si>
  <si>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</si>
  <si>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</si>
  <si>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</si>
  <si>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</si>
  <si>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</si>
  <si>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</si>
  <si>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</si>
  <si>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</si>
  <si>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</si>
  <si>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</si>
  <si>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</si>
  <si>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</si>
  <si>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</si>
  <si>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</si>
  <si>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</si>
  <si>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</si>
  <si>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</si>
  <si>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</si>
  <si>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</si>
  <si>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</si>
  <si>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</si>
  <si>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</si>
  <si>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</si>
  <si>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</si>
  <si>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</si>
  <si>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</si>
  <si>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</si>
  <si>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</si>
  <si>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</si>
  <si>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</si>
  <si>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</si>
  <si>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</si>
  <si>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</si>
  <si>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</si>
  <si>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</si>
  <si>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</si>
  <si>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</si>
  <si>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</si>
  <si>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</si>
  <si>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</si>
  <si>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</si>
  <si>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</si>
  <si>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</si>
  <si>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</si>
  <si>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</si>
  <si>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</si>
  <si>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</si>
  <si>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</si>
  <si>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</si>
  <si>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</si>
  <si>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</si>
  <si>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</si>
  <si>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</si>
  <si>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</si>
  <si>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</si>
  <si>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</si>
  <si>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</si>
  <si>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</si>
  <si>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</si>
  <si>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</si>
  <si>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</si>
  <si>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</si>
  <si>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</si>
  <si>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</si>
  <si>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</si>
  <si>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</si>
  <si>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</si>
  <si>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</si>
  <si>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</si>
  <si>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</si>
  <si>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</si>
  <si>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</si>
  <si>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</si>
  <si>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</si>
  <si>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</si>
  <si>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</si>
  <si>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</si>
  <si>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</si>
  <si>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</si>
  <si>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</si>
  <si>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</si>
  <si>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</si>
  <si>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</si>
  <si>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</si>
  <si>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</si>
  <si>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</si>
  <si>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</si>
  <si>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</si>
  <si>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</si>
  <si>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</si>
  <si>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</si>
  <si>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</si>
  <si>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</si>
  <si>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</si>
  <si>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</si>
  <si>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</si>
  <si>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</si>
  <si>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</si>
  <si>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</si>
  <si>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</si>
  <si>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</si>
  <si>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</si>
  <si>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</si>
  <si>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</si>
  <si>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</si>
  <si>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</si>
  <si>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</si>
  <si>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</si>
  <si>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</si>
  <si>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</si>
  <si>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</si>
  <si>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</si>
  <si>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</si>
  <si>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</si>
  <si>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</si>
  <si>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</si>
  <si>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</si>
  <si>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</si>
  <si>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</si>
  <si>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</si>
  <si>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</si>
  <si>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</si>
  <si>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</si>
  <si>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</si>
  <si>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</si>
  <si>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</si>
  <si>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</si>
  <si>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</si>
  <si>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</si>
  <si>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</si>
  <si>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</si>
  <si>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</si>
  <si>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</si>
  <si>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</si>
  <si>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</si>
  <si>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</si>
  <si>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</si>
  <si>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</si>
  <si>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</si>
  <si>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</si>
  <si>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</si>
  <si>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</si>
  <si>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</si>
  <si>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</si>
  <si>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</si>
  <si>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</si>
  <si>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</si>
  <si>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</si>
  <si>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</si>
  <si>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</si>
  <si>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</si>
  <si>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</si>
  <si>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</si>
  <si>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</si>
  <si>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</si>
  <si>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</si>
  <si>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</si>
  <si>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</si>
  <si>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</si>
  <si>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</si>
  <si>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</si>
  <si>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</si>
  <si>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</si>
  <si>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</si>
  <si>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</si>
  <si>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</si>
  <si>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</si>
  <si>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</si>
  <si>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</si>
  <si>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</si>
  <si>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</si>
  <si>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</si>
  <si>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</si>
  <si>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</si>
  <si>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</si>
  <si>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</si>
  <si>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</si>
  <si>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</si>
  <si>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</si>
  <si>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</si>
  <si>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</si>
  <si>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</si>
  <si>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</si>
  <si>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</si>
  <si>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</si>
  <si>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</si>
  <si>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</si>
  <si>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</si>
  <si>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</si>
  <si>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</si>
  <si>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</si>
  <si>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</si>
  <si>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</si>
  <si>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</si>
  <si>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</si>
  <si>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</si>
  <si>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</si>
  <si>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</si>
  <si>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</si>
  <si>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</si>
  <si>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</si>
  <si>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</si>
  <si>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</si>
  <si>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</si>
  <si>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</si>
  <si>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</si>
  <si>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</si>
  <si>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</si>
  <si>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</si>
  <si>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</si>
  <si>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</si>
  <si>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</si>
  <si>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</si>
  <si>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</si>
  <si>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</si>
  <si>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</si>
  <si>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</si>
  <si>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</si>
  <si>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</si>
  <si>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</si>
  <si>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</si>
  <si>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</si>
  <si>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</si>
  <si>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</si>
  <si>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</si>
  <si>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</si>
  <si>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</si>
  <si>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</si>
  <si>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</si>
  <si>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</si>
  <si>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</si>
  <si>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</si>
  <si>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</si>
  <si>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</si>
  <si>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</si>
  <si>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</si>
  <si>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</si>
  <si>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</si>
  <si>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</si>
  <si>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</si>
  <si>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</si>
  <si>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</si>
  <si>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</si>
  <si>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</si>
  <si>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</si>
  <si>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</si>
  <si>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</si>
  <si>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</si>
  <si>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</si>
  <si>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</si>
  <si>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</si>
  <si>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</si>
  <si>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</si>
  <si>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</si>
  <si>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</si>
  <si>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</si>
  <si>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</si>
  <si>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</si>
  <si>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</si>
  <si>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</si>
  <si>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</si>
  <si>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</si>
  <si>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</si>
  <si>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</si>
  <si>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</si>
  <si>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</si>
  <si>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</si>
  <si>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</si>
  <si>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</si>
  <si>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</si>
  <si>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</si>
  <si>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</si>
  <si>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</si>
  <si>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</si>
  <si>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</si>
  <si>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</si>
  <si>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</si>
  <si>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</si>
  <si>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</si>
  <si>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</si>
  <si>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</si>
  <si>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</si>
  <si>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</si>
  <si>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</si>
  <si>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</si>
  <si>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</si>
  <si>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</si>
  <si>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</si>
  <si>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</si>
  <si>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</si>
  <si>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</si>
  <si>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</si>
  <si>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</si>
  <si>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</si>
  <si>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</si>
  <si>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</si>
  <si>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</si>
  <si>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</si>
  <si>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</si>
  <si>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</si>
  <si>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</si>
  <si>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</si>
  <si>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</si>
  <si>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</si>
  <si>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</si>
  <si>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</si>
  <si>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</si>
  <si>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</si>
  <si>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</si>
  <si>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</si>
  <si>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</si>
  <si>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</si>
  <si>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</si>
  <si>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</si>
  <si>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</si>
  <si>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</si>
  <si>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</si>
  <si>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</si>
  <si>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</si>
  <si>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</si>
  <si>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</si>
  <si>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</si>
  <si>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</si>
  <si>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</si>
  <si>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</si>
  <si>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</si>
  <si>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</si>
  <si>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</si>
  <si>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</si>
  <si>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</si>
  <si>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</si>
  <si>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</si>
  <si>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</si>
  <si>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</si>
  <si>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</si>
  <si>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</si>
  <si>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</si>
  <si>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</si>
  <si>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</si>
  <si>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</si>
  <si>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</si>
  <si>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</si>
  <si>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</si>
  <si>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</si>
  <si>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</si>
  <si>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</si>
  <si>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</si>
  <si>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</si>
  <si>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</si>
  <si>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</si>
  <si>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</si>
  <si>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</si>
  <si>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</si>
  <si>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</si>
  <si>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</si>
  <si>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</si>
  <si>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</si>
  <si>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</si>
  <si>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</si>
  <si>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</si>
  <si>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</si>
  <si>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</si>
  <si>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</si>
  <si>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</si>
  <si>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</si>
  <si>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</si>
  <si>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</si>
  <si>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</si>
  <si>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</si>
  <si>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</si>
  <si>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</si>
  <si>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</si>
  <si>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</si>
  <si>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</si>
  <si>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</si>
  <si>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</si>
  <si>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</si>
  <si>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</si>
  <si>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</si>
  <si>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</si>
  <si>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</si>
  <si>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</si>
  <si>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</si>
  <si>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</si>
  <si>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</si>
  <si>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</si>
  <si>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</si>
  <si>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</si>
  <si>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</si>
  <si>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</si>
  <si>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</si>
  <si>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</si>
  <si>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</si>
  <si>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</si>
  <si>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</si>
  <si>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</si>
  <si>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</si>
  <si>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</si>
  <si>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</si>
  <si>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</si>
  <si>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</si>
  <si>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</si>
  <si>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</si>
  <si>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</si>
  <si>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</si>
  <si>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</si>
  <si>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</si>
  <si>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</si>
  <si>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</si>
  <si>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</si>
  <si>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</si>
  <si>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</si>
  <si>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</si>
  <si>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</si>
  <si>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</si>
  <si>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</si>
  <si>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</si>
  <si>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</si>
  <si>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</si>
  <si>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</si>
  <si>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</si>
  <si>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</si>
  <si>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</si>
  <si>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</si>
  <si>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</si>
  <si>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</si>
  <si>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</si>
  <si>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</si>
  <si>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</si>
  <si>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</si>
  <si>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</si>
  <si>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</si>
  <si>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</si>
  <si>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</si>
  <si>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</si>
  <si>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</si>
  <si>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</si>
  <si>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</si>
  <si>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</si>
  <si>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</si>
  <si>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</si>
  <si>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</si>
  <si>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</si>
  <si>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</si>
  <si>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</si>
  <si>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</si>
  <si>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</si>
  <si>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</si>
  <si>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</si>
  <si>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</si>
  <si>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</si>
  <si>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</si>
  <si>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 xml:space="preserve">      -- FTDI Rx Communication Error Register : Rx Communication Error Code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</si>
  <si>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</si>
  <si>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</si>
  <si>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</si>
  <si>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</si>
  <si>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</si>
  <si>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</si>
  <si>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</si>
  <si>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</si>
  <si>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</si>
  <si>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</si>
  <si>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</si>
  <si>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</si>
  <si>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</si>
  <si>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</si>
  <si>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</si>
  <si>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</si>
  <si>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</si>
  <si>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</si>
  <si>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</si>
  <si>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</si>
  <si>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</si>
  <si>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</si>
  <si>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</si>
  <si>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</si>
  <si>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</si>
  <si>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</si>
  <si>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</si>
  <si>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</si>
  <si>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</si>
  <si>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</si>
  <si>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</si>
  <si>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</si>
  <si>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</si>
  <si>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</si>
  <si>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</si>
  <si>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</si>
  <si>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</si>
  <si>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</si>
  <si>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</si>
  <si>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</si>
  <si>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</si>
  <si>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</si>
  <si>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</si>
  <si>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</si>
  <si>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</si>
  <si>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</si>
  <si>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</si>
  <si>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</si>
  <si>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</si>
  <si>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</si>
  <si>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</si>
  <si>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</si>
  <si>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</si>
  <si>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</si>
  <si>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</si>
  <si>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</si>
  <si>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</si>
  <si>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</si>
  <si>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</si>
  <si>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</si>
  <si>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</si>
  <si>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</si>
  <si>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</si>
  <si>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</si>
  <si>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</si>
  <si>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</si>
  <si>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</si>
  <si>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</si>
  <si>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</si>
  <si>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</si>
  <si>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</si>
  <si>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</si>
  <si>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</si>
  <si>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</si>
  <si>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</si>
  <si>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</si>
  <si>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</si>
  <si>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</si>
  <si>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</si>
  <si>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</si>
  <si>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</si>
  <si>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</si>
  <si>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</si>
  <si>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</si>
  <si>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</si>
  <si>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</si>
  <si>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</si>
  <si>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</si>
  <si>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</si>
  <si>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</si>
  <si>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</si>
  <si>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</si>
  <si>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</si>
  <si>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</si>
  <si>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</si>
  <si>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</si>
  <si>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</si>
  <si>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</si>
  <si>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</si>
  <si>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</si>
  <si>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ftdi_config_avalon_mm_o.readdata(0) &lt;= ftdi_config_rd_regs_i.rx_comm_error_reg.err_hccd_req_timeout_err;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</si>
  <si>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</si>
  <si>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</si>
  <si>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</si>
  <si>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</si>
  <si>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</si>
  <si>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</si>
  <si>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</si>
  <si>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</si>
  <si>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</si>
  <si>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</si>
  <si>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</si>
  <si>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</si>
  <si>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</si>
  <si>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</si>
  <si>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</si>
  <si>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</si>
  <si>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</si>
  <si>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</si>
  <si>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</si>
  <si>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</si>
  <si>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</si>
  <si>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</si>
  <si>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</si>
  <si>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</si>
  <si>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</si>
  <si>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</si>
  <si>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</si>
  <si>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</si>
  <si>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</si>
  <si>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</si>
  <si>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</si>
  <si>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</si>
  <si>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</si>
  <si>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</si>
  <si>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</si>
  <si>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</si>
  <si>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</si>
  <si>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</si>
  <si>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</si>
  <si>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</si>
  <si>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</si>
  <si>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</si>
  <si>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</si>
  <si>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</si>
  <si>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</si>
  <si>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</si>
  <si>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</si>
  <si>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</si>
  <si>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</si>
  <si>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</si>
  <si>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</si>
  <si>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</si>
  <si>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</si>
  <si>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/* FTDI Tx Buffer Status Register Struct */</t>
  </si>
  <si>
    <t xml:space="preserve">  bool bTxBuff0Full; /* Tx Buffer 0 Full */</t>
  </si>
  <si>
    <t xml:space="preserve">  bool bTxBuff1Full; /* Tx Buffer 1 Full */</t>
  </si>
  <si>
    <t xml:space="preserve">  bool bTxDbuffFull; /* Tx Double Buffer Full */</t>
  </si>
  <si>
    <t>req_hccd_ccd_width</t>
  </si>
  <si>
    <t>rly_hccd_ccd_width</t>
  </si>
  <si>
    <t xml:space="preserve">  req_hccd_ccd_width : std_logic_vector(11 downto 0); -- Half-CCD CCD Width</t>
  </si>
  <si>
    <t xml:space="preserve">  rly_hccd_ccd_width : std_logic_vector(11 downto 0); --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</si>
  <si>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</si>
  <si>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</si>
  <si>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</si>
  <si>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</si>
  <si>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>ftdi_config_wr_regs_o.hccd_req_control_reg.req_hccd_ccd_width &lt;= std_logic_vector(to_unsigned(0, 12));</t>
  </si>
  <si>
    <t>usiRxCommErrCode</t>
  </si>
  <si>
    <t xml:space="preserve">  rx_comm_err_code : std_logic_vector(15 downto 0); --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</si>
  <si>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</si>
  <si>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</si>
  <si>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alt_u16 usiRxCommErrCode; /* Rx Communication Error Code */</t>
  </si>
  <si>
    <t xml:space="preserve">  alt_u32 uliHalfCcdImgLengthBytes; /* Half-CCD Image Length [Bytes] */</t>
  </si>
  <si>
    <t xml:space="preserve">  alt_u32 uliLutLengthBytes; /* LUT Length Bytes */</t>
  </si>
  <si>
    <t xml:space="preserve">      ftdi_config_avalon_mm_o.readdata(18 downto 16) &lt;= ftdi_config_wr_regs_i.hccd_req_control_reg.req_hccd_fee_number;</t>
  </si>
  <si>
    <t xml:space="preserve">      ftdi_config_avalon_mm_o.readdata(25 downto 24) &lt;= ftdi_config_wr_regs_i.hccd_req_control_reg.req_hccd_ccd_number;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</si>
  <si>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</si>
  <si>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</si>
  <si>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ftdi_config_avalon_mm_o.readdata(9 downto 8) &lt;= ftdi_config_rd_regs_i.hccd_reply_status_reg.rly_hccd_ccd_number;</t>
  </si>
  <si>
    <t xml:space="preserve">      ftdi_config_avalon_mm_o.readdata(16) &lt;= ftdi_config_rd_regs_i.hccd_reply_status_reg.rly_hccd_ccd_side;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</si>
  <si>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</si>
  <si>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</si>
  <si>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</si>
  <si>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</si>
  <si>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</si>
  <si>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</si>
  <si>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</si>
  <si>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</si>
  <si>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</si>
  <si>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</si>
  <si>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</si>
  <si>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</si>
  <si>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</si>
  <si>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alt_u16 usiRxBuff0UsedBytes; /* Rx Buffer 0 Used [Bytes] */</t>
  </si>
  <si>
    <t xml:space="preserve">  alt_u16 usiRxBuff1UsedBytes; /* Rx Buffer 1 Used [Bytes] */</t>
  </si>
  <si>
    <t xml:space="preserve">  alt_u16 usiRxDbuffUsedBytes; /* Rx Double Buffer Used [Bytes] */</t>
  </si>
  <si>
    <t xml:space="preserve">  alt_u16 usiTxBuff0SpaceBytes; /* Tx Buffer 0 Space [Bytes] */</t>
  </si>
  <si>
    <t xml:space="preserve">  alt_u16 usiTxBuff1SpaceBytes; /* Tx Buffer 1 Space [Bytes] */</t>
  </si>
  <si>
    <t xml:space="preserve">  alt_u16 usiTxDbuffSpaceBytes; /* Tx Double Buffer Space [Bytes] */</t>
  </si>
  <si>
    <t>Base Byte Address</t>
  </si>
  <si>
    <t>API Byte Address Type Increment</t>
  </si>
  <si>
    <t>Type Size [bytes]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</si>
  <si>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</si>
  <si>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</si>
  <si>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</si>
  <si>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</si>
  <si>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>constant c_AVALON_MM_CONFIG_MIN_ADDR : natural range 0 to 255 := 16#4C#;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</si>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</sst>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8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132</v>
      </c>
      <c r="L2" s="7" t="s">
        <v>133</v>
      </c>
      <c r="M2" s="7" t="s">
        <v>137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129</v>
      </c>
      <c r="T2" s="6" t="s">
        <v>131</v>
      </c>
      <c r="U2" s="6" t="s">
        <v>128</v>
      </c>
      <c r="V2" s="2" t="s">
        <v>130</v>
      </c>
      <c r="W2" s="30" t="s">
        <v>8</v>
      </c>
      <c r="X2" s="30"/>
      <c r="Y2" s="30"/>
      <c r="Z2" s="30"/>
      <c r="AA2" s="31" t="s">
        <v>352</v>
      </c>
      <c r="AB2" s="31"/>
      <c r="AC2" s="31"/>
      <c r="AD2" s="31"/>
      <c r="AE2" s="31" t="s">
        <v>23</v>
      </c>
      <c r="AF2" s="31"/>
      <c r="AG2" s="31"/>
      <c r="AH2" s="31"/>
      <c r="AI2" s="11" t="s">
        <v>138</v>
      </c>
    </row>
    <row r="3" spans="1:35" x14ac:dyDescent="0.25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183</v>
      </c>
      <c r="C4" s="3" t="s">
        <v>241</v>
      </c>
      <c r="D4" s="3" t="s">
        <v>1</v>
      </c>
      <c r="E4" s="3" t="s">
        <v>231</v>
      </c>
      <c r="F4" s="3" t="s">
        <v>233</v>
      </c>
      <c r="G4" s="3" t="s">
        <v>248</v>
      </c>
      <c r="H4" s="3" t="s">
        <v>258</v>
      </c>
      <c r="I4" s="3" t="s">
        <v>94</v>
      </c>
      <c r="J4" s="3">
        <v>1</v>
      </c>
      <c r="K4" s="9" t="s">
        <v>134</v>
      </c>
      <c r="L4" s="3" t="s">
        <v>93</v>
      </c>
      <c r="M4" s="3" t="s">
        <v>299</v>
      </c>
      <c r="N4" s="3" t="s">
        <v>737</v>
      </c>
      <c r="O4" s="3" t="s">
        <v>300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/>
      </c>
      <c r="AB4" s="3" t="str">
        <f t="shared" ref="AB4:AB35" si="3">IF(X4="","",CONCATENATE("(",IF(($J4-COUNTIF($Y4:$Z4,"X")*8)=1,"16)",CONCATENATE(IF(($J4-COUNTIF($Y4:$Z4,"X")*8)&gt;=8,24,($J4-COUNTIF($Y4:$Z4,"X")*8)+16)-1," downto 16)"))))</f>
        <v/>
      </c>
      <c r="AC4" s="3" t="str">
        <f t="shared" ref="AC4:AC35" si="4">IF(Y4="","",CONCATENATE("(",IF(($J4-COUNTIF($Z4,"X")*8)=1,"8)",CONCATENATE(IF(($J4-COUNTIF($Z4,"X")*8)&gt;=8,16,($J4-COUNTIF($Z4,"X")*8)+8)-1," downto 8)"))))</f>
        <v/>
      </c>
      <c r="AD4" s="3" t="str">
        <f t="shared" ref="AD4:AD17" si="5">IF(Z4="","",CONCATENATE("(",IF($J4=1,"0)",CONCATENATE(IF($J4&gt;=8,8,$J4)-1," downto 0)"))))</f>
        <v>(0)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17" si="9">IF(Z4="","",IF($J4&lt;=8,"",CONCATENATE("(",IF($J4&gt;=8,7,$J4-1)," downto ",0,")")))</f>
        <v/>
      </c>
    </row>
    <row r="5" spans="1:35" x14ac:dyDescent="0.25">
      <c r="B5" s="3" t="s">
        <v>242</v>
      </c>
      <c r="C5" s="3" t="s">
        <v>215</v>
      </c>
      <c r="D5" s="3" t="s">
        <v>1</v>
      </c>
      <c r="E5" s="3" t="s">
        <v>231</v>
      </c>
      <c r="F5" s="3" t="s">
        <v>245</v>
      </c>
      <c r="G5" s="3" t="s">
        <v>249</v>
      </c>
      <c r="H5" s="3" t="s">
        <v>259</v>
      </c>
      <c r="I5" s="3" t="s">
        <v>94</v>
      </c>
      <c r="J5" s="3">
        <v>1</v>
      </c>
      <c r="K5" s="9" t="s">
        <v>134</v>
      </c>
      <c r="L5" s="3" t="s">
        <v>93</v>
      </c>
      <c r="M5" s="3" t="s">
        <v>299</v>
      </c>
      <c r="N5" s="3" t="s">
        <v>738</v>
      </c>
      <c r="O5" s="3" t="s">
        <v>301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242</v>
      </c>
      <c r="C6" s="3" t="s">
        <v>216</v>
      </c>
      <c r="D6" s="3" t="s">
        <v>1</v>
      </c>
      <c r="E6" s="3" t="s">
        <v>231</v>
      </c>
      <c r="F6" s="3" t="s">
        <v>245</v>
      </c>
      <c r="G6" s="3" t="s">
        <v>249</v>
      </c>
      <c r="H6" s="3" t="s">
        <v>260</v>
      </c>
      <c r="I6" s="3" t="s">
        <v>94</v>
      </c>
      <c r="J6" s="3">
        <v>1</v>
      </c>
      <c r="K6" s="9" t="s">
        <v>134</v>
      </c>
      <c r="L6" s="3" t="s">
        <v>93</v>
      </c>
      <c r="M6" s="3" t="s">
        <v>299</v>
      </c>
      <c r="N6" s="3" t="s">
        <v>738</v>
      </c>
      <c r="O6" s="3" t="s">
        <v>302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/>
      </c>
      <c r="AD6" s="3" t="str">
        <f t="shared" si="5"/>
        <v>(0)</v>
      </c>
      <c r="AE6" s="3" t="str">
        <f t="shared" si="6"/>
        <v/>
      </c>
      <c r="AF6" s="3" t="str">
        <f t="shared" si="7"/>
        <v/>
      </c>
      <c r="AG6" s="3" t="str">
        <f t="shared" si="8"/>
        <v/>
      </c>
      <c r="AH6" s="3" t="str">
        <f t="shared" si="9"/>
        <v/>
      </c>
    </row>
    <row r="7" spans="1:35" x14ac:dyDescent="0.25">
      <c r="B7" s="3" t="s">
        <v>242</v>
      </c>
      <c r="C7" s="3" t="s">
        <v>624</v>
      </c>
      <c r="D7" s="3" t="s">
        <v>1</v>
      </c>
      <c r="E7" s="3" t="s">
        <v>231</v>
      </c>
      <c r="F7" s="3" t="s">
        <v>245</v>
      </c>
      <c r="G7" s="3" t="s">
        <v>249</v>
      </c>
      <c r="H7" s="3" t="s">
        <v>626</v>
      </c>
      <c r="I7" s="3" t="s">
        <v>94</v>
      </c>
      <c r="J7" s="3">
        <v>1</v>
      </c>
      <c r="K7" s="9" t="s">
        <v>134</v>
      </c>
      <c r="L7" s="3" t="s">
        <v>93</v>
      </c>
      <c r="M7" s="3" t="s">
        <v>299</v>
      </c>
      <c r="N7" s="3" t="s">
        <v>738</v>
      </c>
      <c r="O7" s="3" t="s">
        <v>632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242</v>
      </c>
      <c r="C8" s="3" t="s">
        <v>625</v>
      </c>
      <c r="D8" s="3" t="s">
        <v>1</v>
      </c>
      <c r="E8" s="3" t="s">
        <v>231</v>
      </c>
      <c r="F8" s="3" t="s">
        <v>245</v>
      </c>
      <c r="G8" s="3" t="s">
        <v>249</v>
      </c>
      <c r="H8" s="3" t="s">
        <v>627</v>
      </c>
      <c r="I8" s="3" t="s">
        <v>94</v>
      </c>
      <c r="J8" s="3">
        <v>1</v>
      </c>
      <c r="K8" s="9" t="s">
        <v>134</v>
      </c>
      <c r="L8" s="3" t="s">
        <v>93</v>
      </c>
      <c r="M8" s="3" t="s">
        <v>299</v>
      </c>
      <c r="N8" s="3" t="s">
        <v>738</v>
      </c>
      <c r="O8" s="3" t="s">
        <v>633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242</v>
      </c>
      <c r="C9" s="3" t="s">
        <v>221</v>
      </c>
      <c r="D9" s="3" t="s">
        <v>1</v>
      </c>
      <c r="E9" s="3" t="s">
        <v>231</v>
      </c>
      <c r="F9" s="3" t="s">
        <v>245</v>
      </c>
      <c r="G9" s="3" t="s">
        <v>249</v>
      </c>
      <c r="H9" s="3" t="s">
        <v>261</v>
      </c>
      <c r="I9" s="3" t="s">
        <v>94</v>
      </c>
      <c r="J9" s="3">
        <v>1</v>
      </c>
      <c r="K9" s="9" t="s">
        <v>134</v>
      </c>
      <c r="L9" s="3" t="s">
        <v>93</v>
      </c>
      <c r="M9" s="3" t="s">
        <v>299</v>
      </c>
      <c r="N9" s="3" t="s">
        <v>738</v>
      </c>
      <c r="O9" s="3" t="s">
        <v>303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243</v>
      </c>
      <c r="C10" s="3" t="s">
        <v>217</v>
      </c>
      <c r="D10" s="3" t="s">
        <v>0</v>
      </c>
      <c r="E10" s="3" t="s">
        <v>232</v>
      </c>
      <c r="F10" s="3" t="s">
        <v>246</v>
      </c>
      <c r="G10" s="3" t="s">
        <v>250</v>
      </c>
      <c r="H10" s="3" t="s">
        <v>262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299</v>
      </c>
      <c r="N10" s="3" t="s">
        <v>739</v>
      </c>
      <c r="O10" s="3" t="s">
        <v>304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243</v>
      </c>
      <c r="C11" s="3" t="s">
        <v>218</v>
      </c>
      <c r="D11" s="3" t="s">
        <v>0</v>
      </c>
      <c r="E11" s="3" t="s">
        <v>232</v>
      </c>
      <c r="F11" s="3" t="s">
        <v>246</v>
      </c>
      <c r="G11" s="3" t="s">
        <v>250</v>
      </c>
      <c r="H11" s="3" t="s">
        <v>263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299</v>
      </c>
      <c r="N11" s="3" t="s">
        <v>739</v>
      </c>
      <c r="O11" s="3" t="s">
        <v>305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243</v>
      </c>
      <c r="C12" s="3" t="s">
        <v>622</v>
      </c>
      <c r="D12" s="3" t="s">
        <v>0</v>
      </c>
      <c r="E12" s="3" t="s">
        <v>232</v>
      </c>
      <c r="F12" s="3" t="s">
        <v>246</v>
      </c>
      <c r="G12" s="3" t="s">
        <v>250</v>
      </c>
      <c r="H12" s="3" t="s">
        <v>628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299</v>
      </c>
      <c r="N12" s="3" t="s">
        <v>739</v>
      </c>
      <c r="O12" s="3" t="s">
        <v>634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243</v>
      </c>
      <c r="C13" s="3" t="s">
        <v>623</v>
      </c>
      <c r="D13" s="3" t="s">
        <v>0</v>
      </c>
      <c r="E13" s="3" t="s">
        <v>232</v>
      </c>
      <c r="F13" s="3" t="s">
        <v>246</v>
      </c>
      <c r="G13" s="3" t="s">
        <v>250</v>
      </c>
      <c r="H13" s="3" t="s">
        <v>629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299</v>
      </c>
      <c r="N13" s="3" t="s">
        <v>739</v>
      </c>
      <c r="O13" s="3" t="s">
        <v>635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243</v>
      </c>
      <c r="C14" s="3" t="s">
        <v>222</v>
      </c>
      <c r="D14" s="3" t="s">
        <v>0</v>
      </c>
      <c r="E14" s="3" t="s">
        <v>232</v>
      </c>
      <c r="F14" s="3" t="s">
        <v>246</v>
      </c>
      <c r="G14" s="3" t="s">
        <v>250</v>
      </c>
      <c r="H14" s="3" t="s">
        <v>264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299</v>
      </c>
      <c r="N14" s="3" t="s">
        <v>739</v>
      </c>
      <c r="O14" s="3" t="s">
        <v>306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244</v>
      </c>
      <c r="C15" s="3" t="s">
        <v>219</v>
      </c>
      <c r="D15" s="3" t="s">
        <v>1</v>
      </c>
      <c r="E15" s="3" t="s">
        <v>231</v>
      </c>
      <c r="F15" s="3" t="s">
        <v>247</v>
      </c>
      <c r="G15" s="3" t="s">
        <v>251</v>
      </c>
      <c r="H15" s="3" t="s">
        <v>265</v>
      </c>
      <c r="I15" s="3" t="s">
        <v>94</v>
      </c>
      <c r="J15" s="3">
        <v>1</v>
      </c>
      <c r="K15" s="9" t="s">
        <v>134</v>
      </c>
      <c r="L15" s="9" t="s">
        <v>134</v>
      </c>
      <c r="M15" s="3" t="s">
        <v>299</v>
      </c>
      <c r="N15" s="3" t="s">
        <v>740</v>
      </c>
      <c r="O15" s="3" t="s">
        <v>307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244</v>
      </c>
      <c r="C16" s="3" t="s">
        <v>220</v>
      </c>
      <c r="D16" s="3" t="s">
        <v>1</v>
      </c>
      <c r="E16" s="3" t="s">
        <v>231</v>
      </c>
      <c r="F16" s="3" t="s">
        <v>247</v>
      </c>
      <c r="G16" s="3" t="s">
        <v>251</v>
      </c>
      <c r="H16" s="3" t="s">
        <v>266</v>
      </c>
      <c r="I16" s="3" t="s">
        <v>94</v>
      </c>
      <c r="J16" s="3">
        <v>1</v>
      </c>
      <c r="K16" s="9" t="s">
        <v>134</v>
      </c>
      <c r="L16" s="9" t="s">
        <v>134</v>
      </c>
      <c r="M16" s="3" t="s">
        <v>299</v>
      </c>
      <c r="N16" s="3" t="s">
        <v>740</v>
      </c>
      <c r="O16" s="3" t="s">
        <v>308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244</v>
      </c>
      <c r="C17" s="3" t="s">
        <v>620</v>
      </c>
      <c r="D17" s="3" t="s">
        <v>1</v>
      </c>
      <c r="E17" s="3" t="s">
        <v>231</v>
      </c>
      <c r="F17" s="3" t="s">
        <v>247</v>
      </c>
      <c r="G17" s="3" t="s">
        <v>251</v>
      </c>
      <c r="H17" s="3" t="s">
        <v>630</v>
      </c>
      <c r="I17" s="3" t="s">
        <v>94</v>
      </c>
      <c r="J17" s="3">
        <v>1</v>
      </c>
      <c r="K17" s="9" t="s">
        <v>134</v>
      </c>
      <c r="L17" s="9" t="s">
        <v>134</v>
      </c>
      <c r="M17" s="3" t="s">
        <v>299</v>
      </c>
      <c r="N17" s="3" t="s">
        <v>740</v>
      </c>
      <c r="O17" s="3" t="s">
        <v>636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244</v>
      </c>
      <c r="C18" s="3" t="s">
        <v>621</v>
      </c>
      <c r="D18" s="3" t="s">
        <v>1</v>
      </c>
      <c r="E18" s="3" t="s">
        <v>231</v>
      </c>
      <c r="F18" s="3" t="s">
        <v>247</v>
      </c>
      <c r="G18" s="3" t="s">
        <v>251</v>
      </c>
      <c r="H18" s="3" t="s">
        <v>631</v>
      </c>
      <c r="I18" s="3" t="s">
        <v>94</v>
      </c>
      <c r="J18" s="3">
        <v>1</v>
      </c>
      <c r="K18" s="9" t="s">
        <v>134</v>
      </c>
      <c r="L18" s="9" t="s">
        <v>134</v>
      </c>
      <c r="M18" s="3" t="s">
        <v>299</v>
      </c>
      <c r="N18" s="3" t="s">
        <v>740</v>
      </c>
      <c r="O18" s="3" t="s">
        <v>637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81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81" si="16">IF(Z18="","",IF($J18&lt;=8,"",CONCATENATE("(",IF($J18&gt;=8,7,$J18-1)," downto ",0,")")))</f>
        <v/>
      </c>
    </row>
    <row r="19" spans="2:34" x14ac:dyDescent="0.25">
      <c r="B19" s="3" t="s">
        <v>244</v>
      </c>
      <c r="C19" s="3" t="s">
        <v>223</v>
      </c>
      <c r="D19" s="3" t="s">
        <v>1</v>
      </c>
      <c r="E19" s="3" t="s">
        <v>231</v>
      </c>
      <c r="F19" s="3" t="s">
        <v>247</v>
      </c>
      <c r="G19" s="3" t="s">
        <v>251</v>
      </c>
      <c r="H19" s="3" t="s">
        <v>267</v>
      </c>
      <c r="I19" s="3" t="s">
        <v>94</v>
      </c>
      <c r="J19" s="3">
        <v>1</v>
      </c>
      <c r="K19" s="9" t="s">
        <v>134</v>
      </c>
      <c r="L19" s="9" t="s">
        <v>134</v>
      </c>
      <c r="M19" s="3" t="s">
        <v>299</v>
      </c>
      <c r="N19" s="3" t="s">
        <v>740</v>
      </c>
      <c r="O19" s="3" t="s">
        <v>309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619</v>
      </c>
      <c r="C20" s="3" t="s">
        <v>638</v>
      </c>
      <c r="D20" s="3" t="s">
        <v>1</v>
      </c>
      <c r="E20" s="3" t="s">
        <v>231</v>
      </c>
      <c r="F20" s="3" t="s">
        <v>641</v>
      </c>
      <c r="G20" s="3" t="s">
        <v>642</v>
      </c>
      <c r="H20" s="3" t="s">
        <v>643</v>
      </c>
      <c r="I20" s="3" t="s">
        <v>94</v>
      </c>
      <c r="J20" s="3">
        <v>1</v>
      </c>
      <c r="K20" s="9" t="s">
        <v>134</v>
      </c>
      <c r="L20" s="9" t="s">
        <v>134</v>
      </c>
      <c r="M20" s="3" t="s">
        <v>299</v>
      </c>
      <c r="N20" s="3" t="s">
        <v>741</v>
      </c>
      <c r="O20" s="3" t="s">
        <v>648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619</v>
      </c>
      <c r="C21" s="3" t="s">
        <v>639</v>
      </c>
      <c r="D21" s="3" t="s">
        <v>1</v>
      </c>
      <c r="E21" s="3" t="s">
        <v>231</v>
      </c>
      <c r="F21" s="3" t="s">
        <v>641</v>
      </c>
      <c r="G21" s="3" t="s">
        <v>642</v>
      </c>
      <c r="H21" s="3" t="s">
        <v>644</v>
      </c>
      <c r="I21" s="3" t="s">
        <v>94</v>
      </c>
      <c r="J21" s="3">
        <v>1</v>
      </c>
      <c r="K21" s="9" t="s">
        <v>134</v>
      </c>
      <c r="L21" s="9" t="s">
        <v>134</v>
      </c>
      <c r="M21" s="3" t="s">
        <v>299</v>
      </c>
      <c r="N21" s="3" t="s">
        <v>741</v>
      </c>
      <c r="O21" s="3" t="s">
        <v>649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0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"/>
        <v/>
      </c>
      <c r="AB21" s="3" t="str">
        <f t="shared" si="3"/>
        <v/>
      </c>
      <c r="AC21" s="3" t="str">
        <f t="shared" si="4"/>
        <v/>
      </c>
      <c r="AD21" s="3" t="str">
        <f t="shared" si="15"/>
        <v>(0)</v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619</v>
      </c>
      <c r="C22" s="3" t="s">
        <v>640</v>
      </c>
      <c r="D22" s="3" t="s">
        <v>1</v>
      </c>
      <c r="E22" s="3" t="s">
        <v>231</v>
      </c>
      <c r="F22" s="3" t="s">
        <v>641</v>
      </c>
      <c r="G22" s="3" t="s">
        <v>642</v>
      </c>
      <c r="H22" s="3" t="s">
        <v>645</v>
      </c>
      <c r="I22" s="3" t="s">
        <v>94</v>
      </c>
      <c r="J22" s="3">
        <v>1</v>
      </c>
      <c r="K22" s="9" t="s">
        <v>134</v>
      </c>
      <c r="L22" s="9" t="s">
        <v>134</v>
      </c>
      <c r="M22" s="3" t="s">
        <v>299</v>
      </c>
      <c r="N22" s="3" t="s">
        <v>741</v>
      </c>
      <c r="O22" s="3" t="s">
        <v>650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0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"/>
        <v/>
      </c>
      <c r="AB22" s="3" t="str">
        <f t="shared" si="3"/>
        <v/>
      </c>
      <c r="AC22" s="3" t="str">
        <f t="shared" si="4"/>
        <v/>
      </c>
      <c r="AD22" s="3" t="str">
        <f t="shared" si="15"/>
        <v>(0)</v>
      </c>
      <c r="AE22" s="3" t="str">
        <f t="shared" si="6"/>
        <v/>
      </c>
      <c r="AF22" s="3" t="str">
        <f t="shared" si="7"/>
        <v/>
      </c>
      <c r="AG22" s="3" t="str">
        <f t="shared" si="8"/>
        <v/>
      </c>
      <c r="AH22" s="3" t="str">
        <f t="shared" si="16"/>
        <v/>
      </c>
    </row>
    <row r="23" spans="2:34" x14ac:dyDescent="0.25">
      <c r="B23" s="3" t="s">
        <v>619</v>
      </c>
      <c r="C23" s="3" t="s">
        <v>955</v>
      </c>
      <c r="D23" s="3" t="s">
        <v>1</v>
      </c>
      <c r="E23" s="3" t="s">
        <v>231</v>
      </c>
      <c r="F23" s="3" t="s">
        <v>641</v>
      </c>
      <c r="G23" s="3" t="s">
        <v>642</v>
      </c>
      <c r="H23" s="3" t="s">
        <v>956</v>
      </c>
      <c r="I23" s="3" t="s">
        <v>94</v>
      </c>
      <c r="J23" s="3">
        <v>1</v>
      </c>
      <c r="K23" s="9" t="s">
        <v>134</v>
      </c>
      <c r="L23" s="9" t="s">
        <v>93</v>
      </c>
      <c r="M23" s="3" t="s">
        <v>299</v>
      </c>
      <c r="N23" s="3" t="s">
        <v>741</v>
      </c>
      <c r="O23" s="3" t="s">
        <v>957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0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186</v>
      </c>
      <c r="C24" s="3" t="s">
        <v>230</v>
      </c>
      <c r="D24" s="3" t="s">
        <v>1</v>
      </c>
      <c r="E24" s="3" t="s">
        <v>231</v>
      </c>
      <c r="F24" s="3" t="s">
        <v>235</v>
      </c>
      <c r="G24" s="3" t="s">
        <v>252</v>
      </c>
      <c r="H24" s="3" t="s">
        <v>821</v>
      </c>
      <c r="I24" s="3" t="s">
        <v>94</v>
      </c>
      <c r="J24" s="3">
        <v>16</v>
      </c>
      <c r="K24" s="3" t="s">
        <v>136</v>
      </c>
      <c r="L24" s="3" t="s">
        <v>93</v>
      </c>
      <c r="M24" s="3" t="s">
        <v>299</v>
      </c>
      <c r="N24" s="3" t="s">
        <v>742</v>
      </c>
      <c r="O24" s="3" t="s">
        <v>310</v>
      </c>
      <c r="P24" s="3" t="s">
        <v>102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0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>(15 downto 8)</v>
      </c>
      <c r="AD24" s="3" t="str">
        <f t="shared" si="15"/>
        <v>(7 downto 0)</v>
      </c>
      <c r="AE24" s="3" t="str">
        <f t="shared" si="6"/>
        <v/>
      </c>
      <c r="AF24" s="3" t="str">
        <f t="shared" si="7"/>
        <v/>
      </c>
      <c r="AG24" s="3" t="str">
        <f t="shared" si="8"/>
        <v>(15 downto 8)</v>
      </c>
      <c r="AH24" s="3" t="str">
        <f t="shared" si="16"/>
        <v>(7 downto 0)</v>
      </c>
    </row>
    <row r="25" spans="2:34" x14ac:dyDescent="0.25">
      <c r="B25" s="3" t="s">
        <v>186</v>
      </c>
      <c r="C25" s="3" t="s">
        <v>189</v>
      </c>
      <c r="D25" s="3" t="s">
        <v>1</v>
      </c>
      <c r="E25" s="3" t="s">
        <v>231</v>
      </c>
      <c r="F25" s="3" t="s">
        <v>235</v>
      </c>
      <c r="G25" s="3" t="s">
        <v>252</v>
      </c>
      <c r="H25" s="3" t="s">
        <v>822</v>
      </c>
      <c r="I25" s="3" t="s">
        <v>94</v>
      </c>
      <c r="J25" s="3">
        <v>3</v>
      </c>
      <c r="K25" s="3" t="s">
        <v>298</v>
      </c>
      <c r="L25" s="3" t="s">
        <v>93</v>
      </c>
      <c r="M25" s="3" t="s">
        <v>299</v>
      </c>
      <c r="N25" s="3" t="s">
        <v>742</v>
      </c>
      <c r="O25" s="3" t="s">
        <v>311</v>
      </c>
      <c r="P25" s="3" t="s">
        <v>100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$S24+$R24+INDEX(Tables!$N$5:$Q$8,MATCH(MOD($S24+$R24,4),Tables!$M$5:$M$8,0),MATCH($R25,Tables!$N$4:$Q$4,0))</f>
        <v>82</v>
      </c>
      <c r="T25" s="3" t="str">
        <f t="shared" si="0"/>
        <v>052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>X</v>
      </c>
      <c r="Y25" s="3" t="str">
        <f t="shared" si="13"/>
        <v/>
      </c>
      <c r="Z25" s="3" t="str">
        <f t="shared" si="14"/>
        <v/>
      </c>
      <c r="AA25" s="3" t="str">
        <f t="shared" si="2"/>
        <v/>
      </c>
      <c r="AB25" s="3" t="str">
        <f t="shared" si="3"/>
        <v>(18 downto 16)</v>
      </c>
      <c r="AC25" s="3" t="str">
        <f t="shared" si="4"/>
        <v/>
      </c>
      <c r="AD25" s="3" t="str">
        <f t="shared" si="15"/>
        <v/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186</v>
      </c>
      <c r="C26" s="3" t="s">
        <v>190</v>
      </c>
      <c r="D26" s="3" t="s">
        <v>1</v>
      </c>
      <c r="E26" s="3" t="s">
        <v>231</v>
      </c>
      <c r="F26" s="3" t="s">
        <v>235</v>
      </c>
      <c r="G26" s="3" t="s">
        <v>252</v>
      </c>
      <c r="H26" s="3" t="s">
        <v>823</v>
      </c>
      <c r="I26" s="3" t="s">
        <v>94</v>
      </c>
      <c r="J26" s="3">
        <v>2</v>
      </c>
      <c r="K26" s="3" t="s">
        <v>135</v>
      </c>
      <c r="L26" s="3" t="s">
        <v>93</v>
      </c>
      <c r="M26" s="3" t="s">
        <v>299</v>
      </c>
      <c r="N26" s="3" t="s">
        <v>742</v>
      </c>
      <c r="O26" s="3" t="s">
        <v>312</v>
      </c>
      <c r="P26" s="3" t="s">
        <v>100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$S25+$R25+INDEX(Tables!$N$5:$Q$8,MATCH(MOD($S25+$R25,4),Tables!$M$5:$M$8,0),MATCH($R26,Tables!$N$4:$Q$4,0))</f>
        <v>83</v>
      </c>
      <c r="T26" s="3" t="str">
        <f t="shared" si="0"/>
        <v>053</v>
      </c>
      <c r="U26" s="3">
        <f t="shared" si="10"/>
        <v>20</v>
      </c>
      <c r="V26" s="3" t="str">
        <f t="shared" si="1"/>
        <v>14</v>
      </c>
      <c r="W26" s="3" t="str">
        <f t="shared" si="11"/>
        <v>X</v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 t="shared" si="2"/>
        <v>(25 downto 24)</v>
      </c>
      <c r="AB26" s="3" t="str">
        <f t="shared" si="3"/>
        <v/>
      </c>
      <c r="AC26" s="3" t="str">
        <f t="shared" si="4"/>
        <v/>
      </c>
      <c r="AD26" s="3" t="str">
        <f t="shared" si="15"/>
        <v/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186</v>
      </c>
      <c r="C27" s="3" t="s">
        <v>191</v>
      </c>
      <c r="D27" s="3" t="s">
        <v>1</v>
      </c>
      <c r="E27" s="3" t="s">
        <v>231</v>
      </c>
      <c r="F27" s="3" t="s">
        <v>235</v>
      </c>
      <c r="G27" s="3" t="s">
        <v>252</v>
      </c>
      <c r="H27" s="3" t="s">
        <v>824</v>
      </c>
      <c r="I27" s="3" t="s">
        <v>94</v>
      </c>
      <c r="J27" s="3">
        <v>1</v>
      </c>
      <c r="K27" s="9" t="s">
        <v>134</v>
      </c>
      <c r="L27" s="3" t="s">
        <v>93</v>
      </c>
      <c r="M27" s="3" t="s">
        <v>299</v>
      </c>
      <c r="N27" s="3" t="s">
        <v>742</v>
      </c>
      <c r="O27" s="3" t="s">
        <v>313</v>
      </c>
      <c r="P27" s="3" t="s">
        <v>100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0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186</v>
      </c>
      <c r="C28" s="3" t="s">
        <v>819</v>
      </c>
      <c r="D28" s="3" t="s">
        <v>1</v>
      </c>
      <c r="E28" s="3" t="s">
        <v>231</v>
      </c>
      <c r="F28" s="3" t="s">
        <v>235</v>
      </c>
      <c r="G28" s="3" t="s">
        <v>252</v>
      </c>
      <c r="H28" s="3" t="s">
        <v>825</v>
      </c>
      <c r="I28" s="3" t="s">
        <v>94</v>
      </c>
      <c r="J28" s="3">
        <v>13</v>
      </c>
      <c r="K28" s="3" t="s">
        <v>841</v>
      </c>
      <c r="L28" s="3" t="s">
        <v>93</v>
      </c>
      <c r="M28" s="3" t="s">
        <v>299</v>
      </c>
      <c r="N28" s="3" t="s">
        <v>742</v>
      </c>
      <c r="O28" s="3" t="s">
        <v>843</v>
      </c>
      <c r="P28" s="3" t="s">
        <v>102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$S27+$R27+INDEX(Tables!$N$5:$Q$8,MATCH(MOD($S27+$R27,4),Tables!$M$5:$M$8,0),MATCH($R28,Tables!$N$4:$Q$4,0))</f>
        <v>86</v>
      </c>
      <c r="T28" s="3" t="str">
        <f t="shared" si="0"/>
        <v>056</v>
      </c>
      <c r="U28" s="3">
        <f t="shared" si="10"/>
        <v>21</v>
      </c>
      <c r="V28" s="3" t="str">
        <f t="shared" si="1"/>
        <v>15</v>
      </c>
      <c r="W28" s="3" t="str">
        <f t="shared" si="11"/>
        <v>X</v>
      </c>
      <c r="X28" s="3" t="str">
        <f t="shared" si="12"/>
        <v>X</v>
      </c>
      <c r="Y28" s="3" t="str">
        <f t="shared" si="13"/>
        <v/>
      </c>
      <c r="Z28" s="3" t="str">
        <f t="shared" si="14"/>
        <v/>
      </c>
      <c r="AA28" s="3" t="str">
        <f t="shared" si="2"/>
        <v>(28 downto 24)</v>
      </c>
      <c r="AB28" s="3" t="str">
        <f t="shared" si="3"/>
        <v>(23 downto 16)</v>
      </c>
      <c r="AC28" s="3" t="str">
        <f t="shared" si="4"/>
        <v/>
      </c>
      <c r="AD28" s="3" t="str">
        <f t="shared" si="15"/>
        <v/>
      </c>
      <c r="AE28" s="3" t="str">
        <f t="shared" si="6"/>
        <v>(12 downto 8)</v>
      </c>
      <c r="AF28" s="3" t="str">
        <f t="shared" si="7"/>
        <v>(7 downto 0)</v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186</v>
      </c>
      <c r="C29" s="3" t="s">
        <v>820</v>
      </c>
      <c r="D29" s="3" t="s">
        <v>1</v>
      </c>
      <c r="E29" s="3" t="s">
        <v>231</v>
      </c>
      <c r="F29" s="3" t="s">
        <v>235</v>
      </c>
      <c r="G29" s="3" t="s">
        <v>252</v>
      </c>
      <c r="H29" s="3" t="s">
        <v>976</v>
      </c>
      <c r="I29" s="3" t="s">
        <v>94</v>
      </c>
      <c r="J29" s="3">
        <v>12</v>
      </c>
      <c r="K29" s="3" t="s">
        <v>842</v>
      </c>
      <c r="L29" s="3" t="s">
        <v>93</v>
      </c>
      <c r="M29" s="3" t="s">
        <v>299</v>
      </c>
      <c r="N29" s="3" t="s">
        <v>742</v>
      </c>
      <c r="O29" s="3" t="s">
        <v>844</v>
      </c>
      <c r="P29" s="3" t="s">
        <v>102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$S28+$R28+INDEX(Tables!$N$5:$Q$8,MATCH(MOD($S28+$R28,4),Tables!$M$5:$M$8,0),MATCH($R29,Tables!$N$4:$Q$4,0))</f>
        <v>88</v>
      </c>
      <c r="T29" s="3" t="str">
        <f t="shared" si="0"/>
        <v>058</v>
      </c>
      <c r="U29" s="3">
        <f t="shared" si="10"/>
        <v>22</v>
      </c>
      <c r="V29" s="3" t="str">
        <f t="shared" si="1"/>
        <v>16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>(11 downto 8)</v>
      </c>
      <c r="AD29" s="3" t="str">
        <f t="shared" si="15"/>
        <v>(7 downto 0)</v>
      </c>
      <c r="AE29" s="3" t="str">
        <f t="shared" si="6"/>
        <v/>
      </c>
      <c r="AF29" s="3" t="str">
        <f t="shared" si="7"/>
        <v/>
      </c>
      <c r="AG29" s="3" t="str">
        <f t="shared" si="8"/>
        <v>(11 downto 8)</v>
      </c>
      <c r="AH29" s="3" t="str">
        <f t="shared" si="16"/>
        <v>(7 downto 0)</v>
      </c>
    </row>
    <row r="30" spans="2:34" x14ac:dyDescent="0.25">
      <c r="B30" s="3" t="s">
        <v>186</v>
      </c>
      <c r="C30" s="3" t="s">
        <v>192</v>
      </c>
      <c r="D30" s="3" t="s">
        <v>1</v>
      </c>
      <c r="E30" s="3" t="s">
        <v>231</v>
      </c>
      <c r="F30" s="3" t="s">
        <v>235</v>
      </c>
      <c r="G30" s="3" t="s">
        <v>252</v>
      </c>
      <c r="H30" s="3" t="s">
        <v>826</v>
      </c>
      <c r="I30" s="3" t="s">
        <v>94</v>
      </c>
      <c r="J30" s="3">
        <v>16</v>
      </c>
      <c r="K30" s="3" t="s">
        <v>136</v>
      </c>
      <c r="L30" s="3" t="s">
        <v>93</v>
      </c>
      <c r="M30" s="3" t="s">
        <v>299</v>
      </c>
      <c r="N30" s="3" t="s">
        <v>742</v>
      </c>
      <c r="O30" s="3" t="s">
        <v>314</v>
      </c>
      <c r="P30" s="3" t="s">
        <v>102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90</v>
      </c>
      <c r="T30" s="3" t="str">
        <f t="shared" si="0"/>
        <v>05A</v>
      </c>
      <c r="U30" s="3">
        <f t="shared" si="10"/>
        <v>22</v>
      </c>
      <c r="V30" s="3" t="str">
        <f t="shared" si="1"/>
        <v>16</v>
      </c>
      <c r="W30" s="3" t="str">
        <f t="shared" si="11"/>
        <v>X</v>
      </c>
      <c r="X30" s="3" t="str">
        <f t="shared" si="12"/>
        <v>X</v>
      </c>
      <c r="Y30" s="3" t="str">
        <f t="shared" si="13"/>
        <v/>
      </c>
      <c r="Z30" s="3" t="str">
        <f t="shared" si="14"/>
        <v/>
      </c>
      <c r="AA30" s="3" t="str">
        <f t="shared" si="2"/>
        <v>(31 downto 24)</v>
      </c>
      <c r="AB30" s="3" t="str">
        <f t="shared" si="3"/>
        <v>(23 downto 16)</v>
      </c>
      <c r="AC30" s="3" t="str">
        <f t="shared" si="4"/>
        <v/>
      </c>
      <c r="AD30" s="3" t="str">
        <f t="shared" si="15"/>
        <v/>
      </c>
      <c r="AE30" s="3" t="str">
        <f t="shared" si="6"/>
        <v>(15 downto 8)</v>
      </c>
      <c r="AF30" s="3" t="str">
        <f t="shared" si="7"/>
        <v>(7 downto 0)</v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186</v>
      </c>
      <c r="C31" s="3" t="s">
        <v>184</v>
      </c>
      <c r="D31" s="3" t="s">
        <v>1</v>
      </c>
      <c r="E31" s="3" t="s">
        <v>231</v>
      </c>
      <c r="F31" s="3" t="s">
        <v>235</v>
      </c>
      <c r="G31" s="3" t="s">
        <v>252</v>
      </c>
      <c r="H31" s="3" t="s">
        <v>827</v>
      </c>
      <c r="I31" s="3" t="s">
        <v>94</v>
      </c>
      <c r="J31" s="3">
        <v>1</v>
      </c>
      <c r="K31" s="9" t="s">
        <v>134</v>
      </c>
      <c r="L31" s="9" t="s">
        <v>134</v>
      </c>
      <c r="M31" s="3" t="s">
        <v>299</v>
      </c>
      <c r="N31" s="3" t="s">
        <v>742</v>
      </c>
      <c r="O31" s="3" t="s">
        <v>315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92</v>
      </c>
      <c r="T31" s="3" t="str">
        <f t="shared" si="0"/>
        <v>05C</v>
      </c>
      <c r="U31" s="3">
        <f t="shared" si="10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186</v>
      </c>
      <c r="C32" s="3" t="s">
        <v>646</v>
      </c>
      <c r="D32" s="3" t="s">
        <v>1</v>
      </c>
      <c r="E32" s="3" t="s">
        <v>231</v>
      </c>
      <c r="F32" s="3" t="s">
        <v>235</v>
      </c>
      <c r="G32" s="3" t="s">
        <v>252</v>
      </c>
      <c r="H32" s="3" t="s">
        <v>828</v>
      </c>
      <c r="I32" s="3" t="s">
        <v>94</v>
      </c>
      <c r="J32" s="3">
        <v>1</v>
      </c>
      <c r="K32" s="9" t="s">
        <v>134</v>
      </c>
      <c r="L32" s="9" t="s">
        <v>134</v>
      </c>
      <c r="M32" s="3" t="s">
        <v>299</v>
      </c>
      <c r="N32" s="3" t="s">
        <v>742</v>
      </c>
      <c r="O32" s="3" t="s">
        <v>647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96</v>
      </c>
      <c r="T32" s="3" t="str">
        <f t="shared" si="0"/>
        <v>060</v>
      </c>
      <c r="U32" s="3">
        <f t="shared" si="10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186</v>
      </c>
      <c r="C33" s="3" t="s">
        <v>194</v>
      </c>
      <c r="D33" s="3" t="s">
        <v>1</v>
      </c>
      <c r="E33" s="3" t="s">
        <v>231</v>
      </c>
      <c r="F33" s="3" t="s">
        <v>235</v>
      </c>
      <c r="G33" s="3" t="s">
        <v>252</v>
      </c>
      <c r="H33" s="3" t="s">
        <v>829</v>
      </c>
      <c r="I33" s="3" t="s">
        <v>94</v>
      </c>
      <c r="J33" s="3">
        <v>1</v>
      </c>
      <c r="K33" s="9" t="s">
        <v>134</v>
      </c>
      <c r="L33" s="9" t="s">
        <v>134</v>
      </c>
      <c r="M33" s="3" t="s">
        <v>299</v>
      </c>
      <c r="N33" s="3" t="s">
        <v>742</v>
      </c>
      <c r="O33" s="3" t="s">
        <v>316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100</v>
      </c>
      <c r="T33" s="3" t="str">
        <f t="shared" si="0"/>
        <v>064</v>
      </c>
      <c r="U33" s="3">
        <f t="shared" si="10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187</v>
      </c>
      <c r="C34" s="3" t="s">
        <v>189</v>
      </c>
      <c r="D34" s="3" t="s">
        <v>0</v>
      </c>
      <c r="E34" s="3" t="s">
        <v>232</v>
      </c>
      <c r="F34" s="3" t="s">
        <v>236</v>
      </c>
      <c r="G34" s="3" t="s">
        <v>253</v>
      </c>
      <c r="H34" s="3" t="s">
        <v>830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299</v>
      </c>
      <c r="N34" s="3" t="s">
        <v>743</v>
      </c>
      <c r="O34" s="3" t="s">
        <v>311</v>
      </c>
      <c r="P34" s="3" t="s">
        <v>100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$S33+$R33+INDEX(Tables!$N$5:$Q$8,MATCH(MOD($S33+$R33,4),Tables!$M$5:$M$8,0),MATCH($R34,Tables!$N$4:$Q$4,0))</f>
        <v>104</v>
      </c>
      <c r="T34" s="3" t="str">
        <f t="shared" si="0"/>
        <v>068</v>
      </c>
      <c r="U34" s="3">
        <f t="shared" si="10"/>
        <v>26</v>
      </c>
      <c r="V34" s="3" t="str">
        <f t="shared" si="1"/>
        <v>1A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(2 downto 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187</v>
      </c>
      <c r="C35" s="3" t="s">
        <v>190</v>
      </c>
      <c r="D35" s="3" t="s">
        <v>0</v>
      </c>
      <c r="E35" s="3" t="s">
        <v>232</v>
      </c>
      <c r="F35" s="3" t="s">
        <v>236</v>
      </c>
      <c r="G35" s="3" t="s">
        <v>253</v>
      </c>
      <c r="H35" s="3" t="s">
        <v>831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299</v>
      </c>
      <c r="N35" s="3" t="s">
        <v>743</v>
      </c>
      <c r="O35" s="3" t="s">
        <v>312</v>
      </c>
      <c r="P35" s="3" t="s">
        <v>100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$S34+$R34+INDEX(Tables!$N$5:$Q$8,MATCH(MOD($S34+$R34,4),Tables!$M$5:$M$8,0),MATCH($R35,Tables!$N$4:$Q$4,0))</f>
        <v>105</v>
      </c>
      <c r="T35" s="3" t="str">
        <f t="shared" si="0"/>
        <v>069</v>
      </c>
      <c r="U35" s="3">
        <f t="shared" si="10"/>
        <v>26</v>
      </c>
      <c r="V35" s="3" t="str">
        <f t="shared" si="1"/>
        <v>1A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/>
      </c>
      <c r="AA35" s="3" t="str">
        <f t="shared" si="2"/>
        <v/>
      </c>
      <c r="AB35" s="3" t="str">
        <f t="shared" si="3"/>
        <v/>
      </c>
      <c r="AC35" s="3" t="str">
        <f t="shared" si="4"/>
        <v>(9 downto 8)</v>
      </c>
      <c r="AD35" s="3" t="str">
        <f t="shared" si="15"/>
        <v/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187</v>
      </c>
      <c r="C36" s="3" t="s">
        <v>191</v>
      </c>
      <c r="D36" s="3" t="s">
        <v>0</v>
      </c>
      <c r="E36" s="3" t="s">
        <v>232</v>
      </c>
      <c r="F36" s="3" t="s">
        <v>236</v>
      </c>
      <c r="G36" s="3" t="s">
        <v>253</v>
      </c>
      <c r="H36" s="3" t="s">
        <v>832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299</v>
      </c>
      <c r="N36" s="3" t="s">
        <v>743</v>
      </c>
      <c r="O36" s="3" t="s">
        <v>313</v>
      </c>
      <c r="P36" s="3" t="s">
        <v>100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>
        <f>$S35+$R35+INDEX(Tables!$N$5:$Q$8,MATCH(MOD($S35+$R35,4),Tables!$M$5:$M$8,0),MATCH($R36,Tables!$N$4:$Q$4,0))</f>
        <v>106</v>
      </c>
      <c r="T36" s="3" t="str">
        <f t="shared" ref="T36:T67" si="17">DEC2HEX($S36,3)</f>
        <v>06A</v>
      </c>
      <c r="U36" s="3">
        <f t="shared" si="10"/>
        <v>26</v>
      </c>
      <c r="V36" s="3" t="str">
        <f t="shared" ref="V36:V67" si="18">DEC2HEX($U36,2)</f>
        <v>1A</v>
      </c>
      <c r="W36" s="3" t="str">
        <f t="shared" si="11"/>
        <v/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>(16)</v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/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187</v>
      </c>
      <c r="C37" s="3" t="s">
        <v>819</v>
      </c>
      <c r="D37" s="3" t="s">
        <v>0</v>
      </c>
      <c r="E37" s="3" t="s">
        <v>232</v>
      </c>
      <c r="F37" s="3" t="s">
        <v>236</v>
      </c>
      <c r="G37" s="3" t="s">
        <v>253</v>
      </c>
      <c r="H37" s="3" t="s">
        <v>833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299</v>
      </c>
      <c r="N37" s="3" t="s">
        <v>743</v>
      </c>
      <c r="O37" s="3" t="s">
        <v>843</v>
      </c>
      <c r="P37" s="3" t="s">
        <v>102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$S36+$R36+INDEX(Tables!$N$5:$Q$8,MATCH(MOD($S36+$R36,4),Tables!$M$5:$M$8,0),MATCH($R37,Tables!$N$4:$Q$4,0))</f>
        <v>108</v>
      </c>
      <c r="T37" s="3" t="str">
        <f t="shared" si="17"/>
        <v>06C</v>
      </c>
      <c r="U37" s="3">
        <f t="shared" si="10"/>
        <v>27</v>
      </c>
      <c r="V37" s="3" t="str">
        <f t="shared" si="18"/>
        <v>1B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>(12 downto 8)</v>
      </c>
      <c r="AD37" s="3" t="str">
        <f t="shared" si="15"/>
        <v>(7 downto 0)</v>
      </c>
      <c r="AE37" s="3" t="str">
        <f t="shared" si="22"/>
        <v/>
      </c>
      <c r="AF37" s="3" t="str">
        <f t="shared" si="23"/>
        <v/>
      </c>
      <c r="AG37" s="3" t="str">
        <f t="shared" si="24"/>
        <v>(12 downto 8)</v>
      </c>
      <c r="AH37" s="3" t="str">
        <f t="shared" si="16"/>
        <v>(7 downto 0)</v>
      </c>
    </row>
    <row r="38" spans="2:34" x14ac:dyDescent="0.25">
      <c r="B38" s="3" t="s">
        <v>187</v>
      </c>
      <c r="C38" s="3" t="s">
        <v>820</v>
      </c>
      <c r="D38" s="3" t="s">
        <v>0</v>
      </c>
      <c r="E38" s="3" t="s">
        <v>232</v>
      </c>
      <c r="F38" s="3" t="s">
        <v>236</v>
      </c>
      <c r="G38" s="3" t="s">
        <v>253</v>
      </c>
      <c r="H38" s="3" t="s">
        <v>977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299</v>
      </c>
      <c r="N38" s="3" t="s">
        <v>743</v>
      </c>
      <c r="O38" s="3" t="s">
        <v>844</v>
      </c>
      <c r="P38" s="3" t="s">
        <v>102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$S37+$R37+INDEX(Tables!$N$5:$Q$8,MATCH(MOD($S37+$R37,4),Tables!$M$5:$M$8,0),MATCH($R38,Tables!$N$4:$Q$4,0))</f>
        <v>110</v>
      </c>
      <c r="T38" s="3" t="str">
        <f t="shared" si="17"/>
        <v>06E</v>
      </c>
      <c r="U38" s="3">
        <f t="shared" si="10"/>
        <v>27</v>
      </c>
      <c r="V38" s="3" t="str">
        <f t="shared" si="18"/>
        <v>1B</v>
      </c>
      <c r="W38" s="3" t="str">
        <f t="shared" si="11"/>
        <v>X</v>
      </c>
      <c r="X38" s="3" t="str">
        <f t="shared" si="12"/>
        <v>X</v>
      </c>
      <c r="Y38" s="3" t="str">
        <f t="shared" si="13"/>
        <v/>
      </c>
      <c r="Z38" s="3" t="str">
        <f t="shared" si="14"/>
        <v/>
      </c>
      <c r="AA38" s="3" t="str">
        <f t="shared" si="19"/>
        <v>(27 downto 24)</v>
      </c>
      <c r="AB38" s="3" t="str">
        <f t="shared" si="20"/>
        <v>(23 downto 16)</v>
      </c>
      <c r="AC38" s="3" t="str">
        <f t="shared" si="21"/>
        <v/>
      </c>
      <c r="AD38" s="3" t="str">
        <f t="shared" si="15"/>
        <v/>
      </c>
      <c r="AE38" s="3" t="str">
        <f t="shared" si="22"/>
        <v>(11 downto 8)</v>
      </c>
      <c r="AF38" s="3" t="str">
        <f t="shared" si="23"/>
        <v>(7 downto 0)</v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187</v>
      </c>
      <c r="C39" s="3" t="s">
        <v>192</v>
      </c>
      <c r="D39" s="3" t="s">
        <v>0</v>
      </c>
      <c r="E39" s="3" t="s">
        <v>232</v>
      </c>
      <c r="F39" s="3" t="s">
        <v>236</v>
      </c>
      <c r="G39" s="3" t="s">
        <v>253</v>
      </c>
      <c r="H39" s="3" t="s">
        <v>834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299</v>
      </c>
      <c r="N39" s="3" t="s">
        <v>743</v>
      </c>
      <c r="O39" s="3" t="s">
        <v>314</v>
      </c>
      <c r="P39" s="3" t="s">
        <v>102</v>
      </c>
      <c r="Q39" s="3">
        <f>INDEX(Tables!$C$4:$C$28,MATCH($P39,Tables!$B$4:$B$28,0))</f>
        <v>16</v>
      </c>
      <c r="R39" s="3">
        <f>INDEX(Tables!$D$4:$D$28,MATCH($P39,Tables!$B$4:$B$28,0))</f>
        <v>2</v>
      </c>
      <c r="S39" s="3">
        <f>$S38+$R38+INDEX(Tables!$N$5:$Q$8,MATCH(MOD($S38+$R38,4),Tables!$M$5:$M$8,0),MATCH($R39,Tables!$N$4:$Q$4,0))</f>
        <v>112</v>
      </c>
      <c r="T39" s="3" t="str">
        <f t="shared" si="17"/>
        <v>070</v>
      </c>
      <c r="U39" s="3">
        <f t="shared" si="10"/>
        <v>28</v>
      </c>
      <c r="V39" s="3" t="str">
        <f t="shared" si="18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>X</v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>(15 downto 8)</v>
      </c>
      <c r="AD39" s="3" t="str">
        <f t="shared" si="15"/>
        <v>(7 downto 0)</v>
      </c>
      <c r="AE39" s="3" t="str">
        <f t="shared" si="22"/>
        <v/>
      </c>
      <c r="AF39" s="3" t="str">
        <f t="shared" si="23"/>
        <v/>
      </c>
      <c r="AG39" s="3" t="str">
        <f t="shared" si="24"/>
        <v>(15 downto 8)</v>
      </c>
      <c r="AH39" s="3" t="str">
        <f t="shared" si="16"/>
        <v>(7 downto 0)</v>
      </c>
    </row>
    <row r="40" spans="2:34" x14ac:dyDescent="0.25">
      <c r="B40" s="3" t="s">
        <v>187</v>
      </c>
      <c r="C40" s="3" t="s">
        <v>193</v>
      </c>
      <c r="D40" s="3" t="s">
        <v>0</v>
      </c>
      <c r="E40" s="3" t="s">
        <v>232</v>
      </c>
      <c r="F40" s="3" t="s">
        <v>236</v>
      </c>
      <c r="G40" s="3" t="s">
        <v>253</v>
      </c>
      <c r="H40" s="3" t="s">
        <v>835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299</v>
      </c>
      <c r="N40" s="3" t="s">
        <v>743</v>
      </c>
      <c r="O40" s="3" t="s">
        <v>317</v>
      </c>
      <c r="P40" s="3" t="s">
        <v>101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116</v>
      </c>
      <c r="T40" s="3" t="str">
        <f t="shared" si="17"/>
        <v>074</v>
      </c>
      <c r="U40" s="3">
        <f t="shared" si="10"/>
        <v>29</v>
      </c>
      <c r="V40" s="3" t="str">
        <f t="shared" si="18"/>
        <v>1D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9"/>
        <v>(31 downto 24)</v>
      </c>
      <c r="AB40" s="3" t="str">
        <f t="shared" si="20"/>
        <v>(23 downto 16)</v>
      </c>
      <c r="AC40" s="3" t="str">
        <f t="shared" si="21"/>
        <v>(15 downto 8)</v>
      </c>
      <c r="AD40" s="3" t="str">
        <f t="shared" si="15"/>
        <v>(7 downto 0)</v>
      </c>
      <c r="AE40" s="3" t="str">
        <f t="shared" si="22"/>
        <v>(31 downto 24)</v>
      </c>
      <c r="AF40" s="3" t="str">
        <f t="shared" si="23"/>
        <v>(23 downto 16)</v>
      </c>
      <c r="AG40" s="3" t="str">
        <f t="shared" si="24"/>
        <v>(15 downto 8)</v>
      </c>
      <c r="AH40" s="3" t="str">
        <f t="shared" si="16"/>
        <v>(7 downto 0)</v>
      </c>
    </row>
    <row r="41" spans="2:34" x14ac:dyDescent="0.25">
      <c r="B41" s="3" t="s">
        <v>187</v>
      </c>
      <c r="C41" s="3" t="s">
        <v>185</v>
      </c>
      <c r="D41" s="3" t="s">
        <v>0</v>
      </c>
      <c r="E41" s="3" t="s">
        <v>232</v>
      </c>
      <c r="F41" s="3" t="s">
        <v>236</v>
      </c>
      <c r="G41" s="3" t="s">
        <v>253</v>
      </c>
      <c r="H41" s="3" t="s">
        <v>836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299</v>
      </c>
      <c r="N41" s="3" t="s">
        <v>743</v>
      </c>
      <c r="O41" s="3" t="s">
        <v>318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120</v>
      </c>
      <c r="T41" s="3" t="str">
        <f t="shared" si="17"/>
        <v>078</v>
      </c>
      <c r="U41" s="3">
        <f t="shared" si="10"/>
        <v>30</v>
      </c>
      <c r="V41" s="3" t="str">
        <f t="shared" si="18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187</v>
      </c>
      <c r="C42" s="3" t="s">
        <v>195</v>
      </c>
      <c r="D42" s="3" t="s">
        <v>0</v>
      </c>
      <c r="E42" s="3" t="s">
        <v>232</v>
      </c>
      <c r="F42" s="3" t="s">
        <v>236</v>
      </c>
      <c r="G42" s="3" t="s">
        <v>253</v>
      </c>
      <c r="H42" s="3" t="s">
        <v>837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299</v>
      </c>
      <c r="N42" s="3" t="s">
        <v>743</v>
      </c>
      <c r="O42" s="3" t="s">
        <v>319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124</v>
      </c>
      <c r="T42" s="3" t="str">
        <f t="shared" si="17"/>
        <v>07C</v>
      </c>
      <c r="U42" s="3">
        <f t="shared" si="10"/>
        <v>31</v>
      </c>
      <c r="V42" s="3" t="str">
        <f t="shared" si="18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187</v>
      </c>
      <c r="C43" s="3" t="s">
        <v>780</v>
      </c>
      <c r="D43" s="3" t="s">
        <v>0</v>
      </c>
      <c r="E43" s="3" t="s">
        <v>232</v>
      </c>
      <c r="F43" s="3" t="s">
        <v>236</v>
      </c>
      <c r="G43" s="3" t="s">
        <v>253</v>
      </c>
      <c r="H43" s="3" t="s">
        <v>838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299</v>
      </c>
      <c r="N43" s="3" t="s">
        <v>743</v>
      </c>
      <c r="O43" s="3" t="s">
        <v>787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128</v>
      </c>
      <c r="T43" s="3" t="str">
        <f t="shared" si="17"/>
        <v>080</v>
      </c>
      <c r="U43" s="3">
        <f t="shared" si="10"/>
        <v>32</v>
      </c>
      <c r="V43" s="3" t="str">
        <f t="shared" si="18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188</v>
      </c>
      <c r="C44" s="3" t="s">
        <v>196</v>
      </c>
      <c r="D44" s="3" t="s">
        <v>0</v>
      </c>
      <c r="E44" s="3" t="s">
        <v>232</v>
      </c>
      <c r="F44" s="3" t="s">
        <v>237</v>
      </c>
      <c r="G44" s="3" t="s">
        <v>254</v>
      </c>
      <c r="H44" s="3" t="s">
        <v>268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299</v>
      </c>
      <c r="N44" s="3" t="s">
        <v>744</v>
      </c>
      <c r="O44" s="3" t="s">
        <v>320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132</v>
      </c>
      <c r="T44" s="3" t="str">
        <f t="shared" si="17"/>
        <v>084</v>
      </c>
      <c r="U44" s="3">
        <f t="shared" si="10"/>
        <v>33</v>
      </c>
      <c r="V44" s="3" t="str">
        <f t="shared" si="18"/>
        <v>21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188</v>
      </c>
      <c r="C45" s="3" t="s">
        <v>781</v>
      </c>
      <c r="D45" s="3" t="s">
        <v>0</v>
      </c>
      <c r="E45" s="3" t="s">
        <v>232</v>
      </c>
      <c r="F45" s="3" t="s">
        <v>237</v>
      </c>
      <c r="G45" s="3" t="s">
        <v>254</v>
      </c>
      <c r="H45" s="3" t="s">
        <v>784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299</v>
      </c>
      <c r="N45" s="3" t="s">
        <v>744</v>
      </c>
      <c r="O45" s="3" t="s">
        <v>788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136</v>
      </c>
      <c r="T45" s="3" t="str">
        <f t="shared" si="17"/>
        <v>088</v>
      </c>
      <c r="U45" s="3">
        <f t="shared" si="10"/>
        <v>34</v>
      </c>
      <c r="V45" s="3" t="str">
        <f t="shared" si="18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9"/>
        <v/>
      </c>
      <c r="AB45" s="3" t="str">
        <f t="shared" si="20"/>
        <v/>
      </c>
      <c r="AC45" s="3" t="str">
        <f t="shared" si="21"/>
        <v/>
      </c>
      <c r="AD45" s="3" t="str">
        <f t="shared" si="15"/>
        <v>(0)</v>
      </c>
      <c r="AE45" s="3" t="str">
        <f t="shared" si="22"/>
        <v/>
      </c>
      <c r="AF45" s="3" t="str">
        <f t="shared" si="23"/>
        <v/>
      </c>
      <c r="AG45" s="3" t="str">
        <f t="shared" si="24"/>
        <v/>
      </c>
      <c r="AH45" s="3" t="str">
        <f t="shared" si="16"/>
        <v/>
      </c>
    </row>
    <row r="46" spans="2:34" x14ac:dyDescent="0.25">
      <c r="B46" s="3" t="s">
        <v>188</v>
      </c>
      <c r="C46" s="3" t="s">
        <v>198</v>
      </c>
      <c r="D46" s="3" t="s">
        <v>0</v>
      </c>
      <c r="E46" s="3" t="s">
        <v>232</v>
      </c>
      <c r="F46" s="3" t="s">
        <v>237</v>
      </c>
      <c r="G46" s="3" t="s">
        <v>254</v>
      </c>
      <c r="H46" s="3" t="s">
        <v>269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299</v>
      </c>
      <c r="N46" s="3" t="s">
        <v>744</v>
      </c>
      <c r="O46" s="3" t="s">
        <v>321</v>
      </c>
      <c r="P46" s="3" t="s">
        <v>102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$S45+$R45+INDEX(Tables!$N$5:$Q$8,MATCH(MOD($S45+$R45,4),Tables!$M$5:$M$8,0),MATCH($R46,Tables!$N$4:$Q$4,0))</f>
        <v>140</v>
      </c>
      <c r="T46" s="3" t="str">
        <f t="shared" si="17"/>
        <v>08C</v>
      </c>
      <c r="U46" s="3">
        <f t="shared" si="10"/>
        <v>35</v>
      </c>
      <c r="V46" s="3" t="str">
        <f t="shared" si="18"/>
        <v>23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9"/>
        <v/>
      </c>
      <c r="AB46" s="3" t="str">
        <f t="shared" si="20"/>
        <v/>
      </c>
      <c r="AC46" s="3" t="str">
        <f t="shared" si="21"/>
        <v>(13 downto 8)</v>
      </c>
      <c r="AD46" s="3" t="str">
        <f t="shared" si="15"/>
        <v>(7 downto 0)</v>
      </c>
      <c r="AE46" s="3" t="str">
        <f t="shared" si="22"/>
        <v/>
      </c>
      <c r="AF46" s="3" t="str">
        <f t="shared" si="23"/>
        <v/>
      </c>
      <c r="AG46" s="3" t="str">
        <f t="shared" si="24"/>
        <v>(13 downto 8)</v>
      </c>
      <c r="AH46" s="3" t="str">
        <f t="shared" si="16"/>
        <v>(7 downto 0)</v>
      </c>
    </row>
    <row r="47" spans="2:34" x14ac:dyDescent="0.25">
      <c r="B47" s="3" t="s">
        <v>188</v>
      </c>
      <c r="C47" s="3" t="s">
        <v>201</v>
      </c>
      <c r="D47" s="3" t="s">
        <v>0</v>
      </c>
      <c r="E47" s="3" t="s">
        <v>232</v>
      </c>
      <c r="F47" s="3" t="s">
        <v>237</v>
      </c>
      <c r="G47" s="3" t="s">
        <v>254</v>
      </c>
      <c r="H47" s="3" t="s">
        <v>270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299</v>
      </c>
      <c r="N47" s="3" t="s">
        <v>744</v>
      </c>
      <c r="O47" s="3" t="s">
        <v>322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17"/>
        <v>090</v>
      </c>
      <c r="U47" s="3">
        <f t="shared" si="10"/>
        <v>36</v>
      </c>
      <c r="V47" s="3" t="str">
        <f t="shared" si="18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188</v>
      </c>
      <c r="C48" s="3" t="s">
        <v>197</v>
      </c>
      <c r="D48" s="3" t="s">
        <v>0</v>
      </c>
      <c r="E48" s="3" t="s">
        <v>232</v>
      </c>
      <c r="F48" s="3" t="s">
        <v>237</v>
      </c>
      <c r="G48" s="3" t="s">
        <v>254</v>
      </c>
      <c r="H48" s="3" t="s">
        <v>271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299</v>
      </c>
      <c r="N48" s="3" t="s">
        <v>744</v>
      </c>
      <c r="O48" s="3" t="s">
        <v>323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17"/>
        <v>094</v>
      </c>
      <c r="U48" s="3">
        <f t="shared" si="10"/>
        <v>37</v>
      </c>
      <c r="V48" s="3" t="str">
        <f t="shared" si="18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9"/>
        <v/>
      </c>
      <c r="AB48" s="3" t="str">
        <f t="shared" si="20"/>
        <v/>
      </c>
      <c r="AC48" s="3" t="str">
        <f t="shared" si="21"/>
        <v/>
      </c>
      <c r="AD48" s="3" t="str">
        <f t="shared" si="15"/>
        <v>(0)</v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188</v>
      </c>
      <c r="C49" s="3" t="s">
        <v>782</v>
      </c>
      <c r="D49" s="3" t="s">
        <v>0</v>
      </c>
      <c r="E49" s="3" t="s">
        <v>232</v>
      </c>
      <c r="F49" s="3" t="s">
        <v>237</v>
      </c>
      <c r="G49" s="3" t="s">
        <v>254</v>
      </c>
      <c r="H49" s="3" t="s">
        <v>785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299</v>
      </c>
      <c r="N49" s="3" t="s">
        <v>744</v>
      </c>
      <c r="O49" s="3" t="s">
        <v>789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17"/>
        <v>098</v>
      </c>
      <c r="U49" s="3">
        <f t="shared" si="10"/>
        <v>38</v>
      </c>
      <c r="V49" s="3" t="str">
        <f t="shared" si="18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188</v>
      </c>
      <c r="C50" s="3" t="s">
        <v>199</v>
      </c>
      <c r="D50" s="3" t="s">
        <v>0</v>
      </c>
      <c r="E50" s="3" t="s">
        <v>232</v>
      </c>
      <c r="F50" s="3" t="s">
        <v>237</v>
      </c>
      <c r="G50" s="3" t="s">
        <v>254</v>
      </c>
      <c r="H50" s="3" t="s">
        <v>272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299</v>
      </c>
      <c r="N50" s="3" t="s">
        <v>744</v>
      </c>
      <c r="O50" s="3" t="s">
        <v>324</v>
      </c>
      <c r="P50" s="3" t="s">
        <v>102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$S49+$R49+INDEX(Tables!$N$5:$Q$8,MATCH(MOD($S49+$R49,4),Tables!$M$5:$M$8,0),MATCH($R50,Tables!$N$4:$Q$4,0))</f>
        <v>156</v>
      </c>
      <c r="T50" s="3" t="str">
        <f t="shared" si="17"/>
        <v>09C</v>
      </c>
      <c r="U50" s="3">
        <f t="shared" si="10"/>
        <v>39</v>
      </c>
      <c r="V50" s="3" t="str">
        <f t="shared" si="18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>(13 downto 8)</v>
      </c>
      <c r="AD50" s="3" t="str">
        <f t="shared" si="15"/>
        <v>(7 downto 0)</v>
      </c>
      <c r="AE50" s="3" t="str">
        <f t="shared" si="22"/>
        <v/>
      </c>
      <c r="AF50" s="3" t="str">
        <f t="shared" si="23"/>
        <v/>
      </c>
      <c r="AG50" s="3" t="str">
        <f t="shared" si="24"/>
        <v>(13 downto 8)</v>
      </c>
      <c r="AH50" s="3" t="str">
        <f t="shared" si="16"/>
        <v>(7 downto 0)</v>
      </c>
    </row>
    <row r="51" spans="2:34" x14ac:dyDescent="0.25">
      <c r="B51" s="3" t="s">
        <v>188</v>
      </c>
      <c r="C51" s="3" t="s">
        <v>200</v>
      </c>
      <c r="D51" s="3" t="s">
        <v>0</v>
      </c>
      <c r="E51" s="3" t="s">
        <v>232</v>
      </c>
      <c r="F51" s="3" t="s">
        <v>237</v>
      </c>
      <c r="G51" s="3" t="s">
        <v>254</v>
      </c>
      <c r="H51" s="3" t="s">
        <v>273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299</v>
      </c>
      <c r="N51" s="3" t="s">
        <v>744</v>
      </c>
      <c r="O51" s="3" t="s">
        <v>325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160</v>
      </c>
      <c r="T51" s="3" t="str">
        <f t="shared" si="17"/>
        <v>0A0</v>
      </c>
      <c r="U51" s="3">
        <f t="shared" si="10"/>
        <v>40</v>
      </c>
      <c r="V51" s="3" t="str">
        <f t="shared" si="18"/>
        <v>28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188</v>
      </c>
      <c r="C52" s="3" t="s">
        <v>202</v>
      </c>
      <c r="D52" s="3" t="s">
        <v>0</v>
      </c>
      <c r="E52" s="3" t="s">
        <v>232</v>
      </c>
      <c r="F52" s="3" t="s">
        <v>237</v>
      </c>
      <c r="G52" s="3" t="s">
        <v>254</v>
      </c>
      <c r="H52" s="3" t="s">
        <v>274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299</v>
      </c>
      <c r="N52" s="3" t="s">
        <v>744</v>
      </c>
      <c r="O52" s="3" t="s">
        <v>326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164</v>
      </c>
      <c r="T52" s="3" t="str">
        <f t="shared" si="17"/>
        <v>0A4</v>
      </c>
      <c r="U52" s="3">
        <f t="shared" si="10"/>
        <v>41</v>
      </c>
      <c r="V52" s="3" t="str">
        <f t="shared" si="18"/>
        <v>29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188</v>
      </c>
      <c r="C53" s="3" t="s">
        <v>783</v>
      </c>
      <c r="D53" s="3" t="s">
        <v>0</v>
      </c>
      <c r="E53" s="3" t="s">
        <v>232</v>
      </c>
      <c r="F53" s="3" t="s">
        <v>237</v>
      </c>
      <c r="G53" s="3" t="s">
        <v>254</v>
      </c>
      <c r="H53" s="3" t="s">
        <v>786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299</v>
      </c>
      <c r="N53" s="3" t="s">
        <v>744</v>
      </c>
      <c r="O53" s="3" t="s">
        <v>790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168</v>
      </c>
      <c r="T53" s="3" t="str">
        <f t="shared" si="17"/>
        <v>0A8</v>
      </c>
      <c r="U53" s="3">
        <f t="shared" si="10"/>
        <v>42</v>
      </c>
      <c r="V53" s="3" t="str">
        <f t="shared" si="18"/>
        <v>2A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188</v>
      </c>
      <c r="C54" s="3" t="s">
        <v>203</v>
      </c>
      <c r="D54" s="3" t="s">
        <v>0</v>
      </c>
      <c r="E54" s="3" t="s">
        <v>232</v>
      </c>
      <c r="F54" s="3" t="s">
        <v>237</v>
      </c>
      <c r="G54" s="3" t="s">
        <v>254</v>
      </c>
      <c r="H54" s="3" t="s">
        <v>275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299</v>
      </c>
      <c r="N54" s="3" t="s">
        <v>744</v>
      </c>
      <c r="O54" s="3" t="s">
        <v>327</v>
      </c>
      <c r="P54" s="3" t="s">
        <v>102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172</v>
      </c>
      <c r="T54" s="3" t="str">
        <f t="shared" si="17"/>
        <v>0AC</v>
      </c>
      <c r="U54" s="3">
        <f t="shared" si="10"/>
        <v>43</v>
      </c>
      <c r="V54" s="3" t="str">
        <f t="shared" si="18"/>
        <v>2B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>(13 downto 8)</v>
      </c>
      <c r="AD54" s="3" t="str">
        <f t="shared" si="15"/>
        <v>(7 downto 0)</v>
      </c>
      <c r="AE54" s="3" t="str">
        <f t="shared" si="22"/>
        <v/>
      </c>
      <c r="AF54" s="3" t="str">
        <f t="shared" si="23"/>
        <v/>
      </c>
      <c r="AG54" s="3" t="str">
        <f t="shared" si="24"/>
        <v>(13 downto 8)</v>
      </c>
      <c r="AH54" s="3" t="str">
        <f t="shared" si="16"/>
        <v>(7 downto 0)</v>
      </c>
    </row>
    <row r="55" spans="2:34" x14ac:dyDescent="0.25">
      <c r="B55" s="3" t="s">
        <v>188</v>
      </c>
      <c r="C55" s="3" t="s">
        <v>204</v>
      </c>
      <c r="D55" s="3" t="s">
        <v>0</v>
      </c>
      <c r="E55" s="3" t="s">
        <v>232</v>
      </c>
      <c r="F55" s="3" t="s">
        <v>237</v>
      </c>
      <c r="G55" s="3" t="s">
        <v>254</v>
      </c>
      <c r="H55" s="3" t="s">
        <v>276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299</v>
      </c>
      <c r="N55" s="3" t="s">
        <v>744</v>
      </c>
      <c r="O55" s="3" t="s">
        <v>328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176</v>
      </c>
      <c r="T55" s="3" t="str">
        <f t="shared" si="17"/>
        <v>0B0</v>
      </c>
      <c r="U55" s="3">
        <f t="shared" si="10"/>
        <v>44</v>
      </c>
      <c r="V55" s="3" t="str">
        <f t="shared" si="18"/>
        <v>2C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205</v>
      </c>
      <c r="C56" s="3" t="s">
        <v>206</v>
      </c>
      <c r="D56" s="3" t="s">
        <v>0</v>
      </c>
      <c r="E56" s="3" t="s">
        <v>232</v>
      </c>
      <c r="F56" s="3" t="s">
        <v>238</v>
      </c>
      <c r="G56" s="3" t="s">
        <v>255</v>
      </c>
      <c r="H56" s="3" t="s">
        <v>277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299</v>
      </c>
      <c r="N56" s="3" t="s">
        <v>745</v>
      </c>
      <c r="O56" s="3" t="s">
        <v>329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180</v>
      </c>
      <c r="T56" s="3" t="str">
        <f t="shared" si="17"/>
        <v>0B4</v>
      </c>
      <c r="U56" s="3">
        <f t="shared" si="10"/>
        <v>45</v>
      </c>
      <c r="V56" s="3" t="str">
        <f t="shared" si="18"/>
        <v>2D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205</v>
      </c>
      <c r="C57" s="3" t="s">
        <v>208</v>
      </c>
      <c r="D57" s="3" t="s">
        <v>0</v>
      </c>
      <c r="E57" s="3" t="s">
        <v>232</v>
      </c>
      <c r="F57" s="3" t="s">
        <v>238</v>
      </c>
      <c r="G57" s="3" t="s">
        <v>255</v>
      </c>
      <c r="H57" s="3" t="s">
        <v>279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299</v>
      </c>
      <c r="N57" s="3" t="s">
        <v>745</v>
      </c>
      <c r="O57" s="3" t="s">
        <v>331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184</v>
      </c>
      <c r="T57" s="3" t="str">
        <f t="shared" si="17"/>
        <v>0B8</v>
      </c>
      <c r="U57" s="3">
        <f t="shared" si="10"/>
        <v>46</v>
      </c>
      <c r="V57" s="3" t="str">
        <f t="shared" si="18"/>
        <v>2E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205</v>
      </c>
      <c r="C58" s="3" t="s">
        <v>207</v>
      </c>
      <c r="D58" s="3" t="s">
        <v>0</v>
      </c>
      <c r="E58" s="3" t="s">
        <v>232</v>
      </c>
      <c r="F58" s="3" t="s">
        <v>238</v>
      </c>
      <c r="G58" s="3" t="s">
        <v>255</v>
      </c>
      <c r="H58" s="3" t="s">
        <v>278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299</v>
      </c>
      <c r="N58" s="3" t="s">
        <v>745</v>
      </c>
      <c r="O58" s="3" t="s">
        <v>330</v>
      </c>
      <c r="P58" s="3" t="s">
        <v>102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$S57+$R57+INDEX(Tables!$N$5:$Q$8,MATCH(MOD($S57+$R57,4),Tables!$M$5:$M$8,0),MATCH($R58,Tables!$N$4:$Q$4,0))</f>
        <v>188</v>
      </c>
      <c r="T58" s="3" t="str">
        <f t="shared" si="17"/>
        <v>0BC</v>
      </c>
      <c r="U58" s="3">
        <f t="shared" si="10"/>
        <v>47</v>
      </c>
      <c r="V58" s="3" t="str">
        <f t="shared" si="18"/>
        <v>2F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>(13 downto 8)</v>
      </c>
      <c r="AD58" s="3" t="str">
        <f t="shared" si="15"/>
        <v>(7 downto 0)</v>
      </c>
      <c r="AE58" s="3" t="str">
        <f t="shared" si="22"/>
        <v/>
      </c>
      <c r="AF58" s="3" t="str">
        <f t="shared" si="23"/>
        <v/>
      </c>
      <c r="AG58" s="3" t="str">
        <f t="shared" si="24"/>
        <v>(13 downto 8)</v>
      </c>
      <c r="AH58" s="3" t="str">
        <f t="shared" si="16"/>
        <v>(7 downto 0)</v>
      </c>
    </row>
    <row r="59" spans="2:34" x14ac:dyDescent="0.25">
      <c r="B59" s="3" t="s">
        <v>205</v>
      </c>
      <c r="C59" s="3" t="s">
        <v>941</v>
      </c>
      <c r="D59" s="3" t="s">
        <v>0</v>
      </c>
      <c r="E59" s="3" t="s">
        <v>232</v>
      </c>
      <c r="F59" s="3" t="s">
        <v>238</v>
      </c>
      <c r="G59" s="3" t="s">
        <v>255</v>
      </c>
      <c r="H59" s="3" t="s">
        <v>944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299</v>
      </c>
      <c r="N59" s="3" t="s">
        <v>745</v>
      </c>
      <c r="O59" s="3" t="s">
        <v>947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192</v>
      </c>
      <c r="T59" s="3" t="str">
        <f t="shared" si="17"/>
        <v>0C0</v>
      </c>
      <c r="U59" s="3">
        <f t="shared" si="10"/>
        <v>48</v>
      </c>
      <c r="V59" s="3" t="str">
        <f t="shared" si="18"/>
        <v>30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205</v>
      </c>
      <c r="C60" s="3" t="s">
        <v>209</v>
      </c>
      <c r="D60" s="3" t="s">
        <v>0</v>
      </c>
      <c r="E60" s="3" t="s">
        <v>232</v>
      </c>
      <c r="F60" s="3" t="s">
        <v>238</v>
      </c>
      <c r="G60" s="3" t="s">
        <v>255</v>
      </c>
      <c r="H60" s="3" t="s">
        <v>280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299</v>
      </c>
      <c r="N60" s="3" t="s">
        <v>745</v>
      </c>
      <c r="O60" s="3" t="s">
        <v>332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196</v>
      </c>
      <c r="T60" s="3" t="str">
        <f t="shared" si="17"/>
        <v>0C4</v>
      </c>
      <c r="U60" s="3">
        <f t="shared" si="10"/>
        <v>49</v>
      </c>
      <c r="V60" s="3" t="str">
        <f t="shared" si="18"/>
        <v>31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205</v>
      </c>
      <c r="C61" s="3" t="s">
        <v>211</v>
      </c>
      <c r="D61" s="3" t="s">
        <v>0</v>
      </c>
      <c r="E61" s="3" t="s">
        <v>232</v>
      </c>
      <c r="F61" s="3" t="s">
        <v>238</v>
      </c>
      <c r="G61" s="3" t="s">
        <v>255</v>
      </c>
      <c r="H61" s="3" t="s">
        <v>282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299</v>
      </c>
      <c r="N61" s="3" t="s">
        <v>745</v>
      </c>
      <c r="O61" s="3" t="s">
        <v>334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200</v>
      </c>
      <c r="T61" s="3" t="str">
        <f t="shared" si="17"/>
        <v>0C8</v>
      </c>
      <c r="U61" s="3">
        <f t="shared" si="10"/>
        <v>50</v>
      </c>
      <c r="V61" s="3" t="str">
        <f t="shared" si="18"/>
        <v>32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205</v>
      </c>
      <c r="C62" s="3" t="s">
        <v>210</v>
      </c>
      <c r="D62" s="3" t="s">
        <v>0</v>
      </c>
      <c r="E62" s="3" t="s">
        <v>232</v>
      </c>
      <c r="F62" s="3" t="s">
        <v>238</v>
      </c>
      <c r="G62" s="3" t="s">
        <v>255</v>
      </c>
      <c r="H62" s="3" t="s">
        <v>281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299</v>
      </c>
      <c r="N62" s="3" t="s">
        <v>745</v>
      </c>
      <c r="O62" s="3" t="s">
        <v>333</v>
      </c>
      <c r="P62" s="3" t="s">
        <v>102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>
        <f>$S61+$R61+INDEX(Tables!$N$5:$Q$8,MATCH(MOD($S61+$R61,4),Tables!$M$5:$M$8,0),MATCH($R62,Tables!$N$4:$Q$4,0))</f>
        <v>204</v>
      </c>
      <c r="T62" s="3" t="str">
        <f t="shared" si="17"/>
        <v>0CC</v>
      </c>
      <c r="U62" s="3">
        <f t="shared" si="10"/>
        <v>51</v>
      </c>
      <c r="V62" s="3" t="str">
        <f t="shared" si="18"/>
        <v>33</v>
      </c>
      <c r="W62" s="3" t="str">
        <f t="shared" si="11"/>
        <v/>
      </c>
      <c r="X62" s="3" t="str">
        <f t="shared" si="12"/>
        <v/>
      </c>
      <c r="Y62" s="3" t="str">
        <f t="shared" si="13"/>
        <v>X</v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>(13 downto 8)</v>
      </c>
      <c r="AD62" s="3" t="str">
        <f t="shared" si="15"/>
        <v>(7 downto 0)</v>
      </c>
      <c r="AE62" s="3" t="str">
        <f t="shared" si="22"/>
        <v/>
      </c>
      <c r="AF62" s="3" t="str">
        <f t="shared" si="23"/>
        <v/>
      </c>
      <c r="AG62" s="3" t="str">
        <f t="shared" si="24"/>
        <v>(13 downto 8)</v>
      </c>
      <c r="AH62" s="3" t="str">
        <f t="shared" si="16"/>
        <v>(7 downto 0)</v>
      </c>
    </row>
    <row r="63" spans="2:34" x14ac:dyDescent="0.25">
      <c r="B63" s="3" t="s">
        <v>205</v>
      </c>
      <c r="C63" s="3" t="s">
        <v>942</v>
      </c>
      <c r="D63" s="3" t="s">
        <v>0</v>
      </c>
      <c r="E63" s="3" t="s">
        <v>232</v>
      </c>
      <c r="F63" s="3" t="s">
        <v>238</v>
      </c>
      <c r="G63" s="3" t="s">
        <v>255</v>
      </c>
      <c r="H63" s="3" t="s">
        <v>945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299</v>
      </c>
      <c r="N63" s="3" t="s">
        <v>745</v>
      </c>
      <c r="O63" s="3" t="s">
        <v>948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208</v>
      </c>
      <c r="T63" s="3" t="str">
        <f t="shared" si="17"/>
        <v>0D0</v>
      </c>
      <c r="U63" s="3">
        <f t="shared" si="10"/>
        <v>52</v>
      </c>
      <c r="V63" s="3" t="str">
        <f t="shared" si="18"/>
        <v>34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9"/>
        <v/>
      </c>
      <c r="AB63" s="3" t="str">
        <f t="shared" si="20"/>
        <v/>
      </c>
      <c r="AC63" s="3" t="str">
        <f t="shared" si="21"/>
        <v/>
      </c>
      <c r="AD63" s="3" t="str">
        <f t="shared" si="15"/>
        <v>(0)</v>
      </c>
      <c r="AE63" s="3" t="str">
        <f t="shared" si="22"/>
        <v/>
      </c>
      <c r="AF63" s="3" t="str">
        <f t="shared" si="23"/>
        <v/>
      </c>
      <c r="AG63" s="3" t="str">
        <f t="shared" si="24"/>
        <v/>
      </c>
      <c r="AH63" s="3" t="str">
        <f t="shared" si="16"/>
        <v/>
      </c>
    </row>
    <row r="64" spans="2:34" x14ac:dyDescent="0.25">
      <c r="B64" s="3" t="s">
        <v>205</v>
      </c>
      <c r="C64" s="3" t="s">
        <v>212</v>
      </c>
      <c r="D64" s="3" t="s">
        <v>0</v>
      </c>
      <c r="E64" s="3" t="s">
        <v>232</v>
      </c>
      <c r="F64" s="3" t="s">
        <v>238</v>
      </c>
      <c r="G64" s="3" t="s">
        <v>255</v>
      </c>
      <c r="H64" s="3" t="s">
        <v>283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299</v>
      </c>
      <c r="N64" s="3" t="s">
        <v>745</v>
      </c>
      <c r="O64" s="3" t="s">
        <v>335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212</v>
      </c>
      <c r="T64" s="3" t="str">
        <f t="shared" si="17"/>
        <v>0D4</v>
      </c>
      <c r="U64" s="3">
        <f t="shared" si="10"/>
        <v>53</v>
      </c>
      <c r="V64" s="3" t="str">
        <f t="shared" si="18"/>
        <v>35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9"/>
        <v/>
      </c>
      <c r="AB64" s="3" t="str">
        <f t="shared" si="20"/>
        <v/>
      </c>
      <c r="AC64" s="3" t="str">
        <f t="shared" si="21"/>
        <v/>
      </c>
      <c r="AD64" s="3" t="str">
        <f t="shared" si="15"/>
        <v>(0)</v>
      </c>
      <c r="AE64" s="3" t="str">
        <f t="shared" si="22"/>
        <v/>
      </c>
      <c r="AF64" s="3" t="str">
        <f t="shared" si="23"/>
        <v/>
      </c>
      <c r="AG64" s="3" t="str">
        <f t="shared" si="24"/>
        <v/>
      </c>
      <c r="AH64" s="3" t="str">
        <f t="shared" si="16"/>
        <v/>
      </c>
    </row>
    <row r="65" spans="1:34" x14ac:dyDescent="0.25">
      <c r="B65" s="3" t="s">
        <v>205</v>
      </c>
      <c r="C65" s="3" t="s">
        <v>214</v>
      </c>
      <c r="D65" s="3" t="s">
        <v>0</v>
      </c>
      <c r="E65" s="3" t="s">
        <v>232</v>
      </c>
      <c r="F65" s="3" t="s">
        <v>238</v>
      </c>
      <c r="G65" s="3" t="s">
        <v>255</v>
      </c>
      <c r="H65" s="3" t="s">
        <v>285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299</v>
      </c>
      <c r="N65" s="3" t="s">
        <v>745</v>
      </c>
      <c r="O65" s="3" t="s">
        <v>337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216</v>
      </c>
      <c r="T65" s="3" t="str">
        <f t="shared" si="17"/>
        <v>0D8</v>
      </c>
      <c r="U65" s="3">
        <f t="shared" si="10"/>
        <v>54</v>
      </c>
      <c r="V65" s="3" t="str">
        <f t="shared" si="18"/>
        <v>36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9"/>
        <v/>
      </c>
      <c r="AB65" s="3" t="str">
        <f t="shared" si="20"/>
        <v/>
      </c>
      <c r="AC65" s="3" t="str">
        <f t="shared" si="21"/>
        <v/>
      </c>
      <c r="AD65" s="3" t="str">
        <f t="shared" si="15"/>
        <v>(0)</v>
      </c>
      <c r="AE65" s="3" t="str">
        <f t="shared" si="22"/>
        <v/>
      </c>
      <c r="AF65" s="3" t="str">
        <f t="shared" si="23"/>
        <v/>
      </c>
      <c r="AG65" s="3" t="str">
        <f t="shared" si="24"/>
        <v/>
      </c>
      <c r="AH65" s="3" t="str">
        <f t="shared" si="16"/>
        <v/>
      </c>
    </row>
    <row r="66" spans="1:34" x14ac:dyDescent="0.25">
      <c r="B66" s="3" t="s">
        <v>205</v>
      </c>
      <c r="C66" s="3" t="s">
        <v>213</v>
      </c>
      <c r="D66" s="3" t="s">
        <v>0</v>
      </c>
      <c r="E66" s="3" t="s">
        <v>232</v>
      </c>
      <c r="F66" s="3" t="s">
        <v>238</v>
      </c>
      <c r="G66" s="3" t="s">
        <v>255</v>
      </c>
      <c r="H66" s="3" t="s">
        <v>284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299</v>
      </c>
      <c r="N66" s="3" t="s">
        <v>745</v>
      </c>
      <c r="O66" s="3" t="s">
        <v>336</v>
      </c>
      <c r="P66" s="3" t="s">
        <v>102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>
        <f>$S65+$R65+INDEX(Tables!$N$5:$Q$8,MATCH(MOD($S65+$R65,4),Tables!$M$5:$M$8,0),MATCH($R66,Tables!$N$4:$Q$4,0))</f>
        <v>220</v>
      </c>
      <c r="T66" s="3" t="str">
        <f t="shared" si="17"/>
        <v>0DC</v>
      </c>
      <c r="U66" s="3">
        <f t="shared" si="10"/>
        <v>55</v>
      </c>
      <c r="V66" s="3" t="str">
        <f t="shared" si="18"/>
        <v>37</v>
      </c>
      <c r="W66" s="3" t="str">
        <f t="shared" si="11"/>
        <v/>
      </c>
      <c r="X66" s="3" t="str">
        <f t="shared" si="12"/>
        <v/>
      </c>
      <c r="Y66" s="3" t="str">
        <f t="shared" si="13"/>
        <v>X</v>
      </c>
      <c r="Z66" s="3" t="str">
        <f t="shared" si="14"/>
        <v>X</v>
      </c>
      <c r="AA66" s="3" t="str">
        <f t="shared" si="19"/>
        <v/>
      </c>
      <c r="AB66" s="3" t="str">
        <f t="shared" si="20"/>
        <v/>
      </c>
      <c r="AC66" s="3" t="str">
        <f t="shared" si="21"/>
        <v>(13 downto 8)</v>
      </c>
      <c r="AD66" s="3" t="str">
        <f t="shared" si="15"/>
        <v>(7 downto 0)</v>
      </c>
      <c r="AE66" s="3" t="str">
        <f t="shared" si="22"/>
        <v/>
      </c>
      <c r="AF66" s="3" t="str">
        <f t="shared" si="23"/>
        <v/>
      </c>
      <c r="AG66" s="3" t="str">
        <f t="shared" si="24"/>
        <v>(13 downto 8)</v>
      </c>
      <c r="AH66" s="3" t="str">
        <f t="shared" si="16"/>
        <v>(7 downto 0)</v>
      </c>
    </row>
    <row r="67" spans="1:34" x14ac:dyDescent="0.25">
      <c r="B67" s="3" t="s">
        <v>205</v>
      </c>
      <c r="C67" s="3" t="s">
        <v>943</v>
      </c>
      <c r="D67" s="3" t="s">
        <v>0</v>
      </c>
      <c r="E67" s="3" t="s">
        <v>232</v>
      </c>
      <c r="F67" s="3" t="s">
        <v>238</v>
      </c>
      <c r="G67" s="3" t="s">
        <v>255</v>
      </c>
      <c r="H67" s="3" t="s">
        <v>946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299</v>
      </c>
      <c r="N67" s="3" t="s">
        <v>745</v>
      </c>
      <c r="O67" s="3" t="s">
        <v>949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224</v>
      </c>
      <c r="T67" s="3" t="str">
        <f t="shared" si="17"/>
        <v>0E0</v>
      </c>
      <c r="U67" s="3">
        <f t="shared" si="10"/>
        <v>56</v>
      </c>
      <c r="V67" s="3" t="str">
        <f t="shared" si="18"/>
        <v>38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224</v>
      </c>
      <c r="C68" s="3" t="s">
        <v>296</v>
      </c>
      <c r="D68" s="3" t="s">
        <v>0</v>
      </c>
      <c r="E68" s="3" t="s">
        <v>232</v>
      </c>
      <c r="F68" s="3" t="s">
        <v>239</v>
      </c>
      <c r="G68" s="3" t="s">
        <v>256</v>
      </c>
      <c r="H68" s="3" t="s">
        <v>297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299</v>
      </c>
      <c r="N68" s="3" t="s">
        <v>746</v>
      </c>
      <c r="O68" s="3" t="s">
        <v>338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228</v>
      </c>
      <c r="T68" s="3" t="str">
        <f t="shared" ref="T68:T87" si="25">DEC2HEX($S68,3)</f>
        <v>0E4</v>
      </c>
      <c r="U68" s="3">
        <f t="shared" si="10"/>
        <v>57</v>
      </c>
      <c r="V68" s="3" t="str">
        <f t="shared" ref="V68:V87" si="26">DEC2HEX($U68,2)</f>
        <v>39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87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87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87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87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87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87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224</v>
      </c>
      <c r="C69" s="3" t="s">
        <v>815</v>
      </c>
      <c r="D69" s="3" t="s">
        <v>0</v>
      </c>
      <c r="E69" s="3" t="s">
        <v>232</v>
      </c>
      <c r="F69" s="3" t="s">
        <v>239</v>
      </c>
      <c r="G69" s="3" t="s">
        <v>256</v>
      </c>
      <c r="H69" s="3" t="s">
        <v>816</v>
      </c>
      <c r="I69" s="3" t="s">
        <v>94</v>
      </c>
      <c r="J69" s="3">
        <v>16</v>
      </c>
      <c r="K69" s="9" t="s">
        <v>93</v>
      </c>
      <c r="L69" s="9" t="s">
        <v>93</v>
      </c>
      <c r="M69" s="3" t="s">
        <v>299</v>
      </c>
      <c r="N69" s="3" t="s">
        <v>746</v>
      </c>
      <c r="O69" s="3" t="s">
        <v>985</v>
      </c>
      <c r="P69" s="3" t="s">
        <v>102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>
        <f>$S68+$R68+INDEX(Tables!$N$5:$Q$8,MATCH(MOD($S68+$R68,4),Tables!$M$5:$M$8,0),MATCH($R69,Tables!$N$4:$Q$4,0))</f>
        <v>232</v>
      </c>
      <c r="T69" s="3" t="str">
        <f t="shared" si="25"/>
        <v>0E8</v>
      </c>
      <c r="U69" s="3">
        <f t="shared" ref="U69:U77" si="33">ROUNDDOWN(S69/4,0)</f>
        <v>58</v>
      </c>
      <c r="V69" s="3" t="str">
        <f t="shared" si="26"/>
        <v>3A</v>
      </c>
      <c r="W69" s="3" t="str">
        <f t="shared" ref="W69:W87" si="34">IF(MOD($S69,4)=3,"X",IF(AND(MOD($S69,4)=2,$J69&gt;8),"X",IF(AND(MOD($S69,4)=1,$J69&gt;16),"X",IF(AND(MOD($S69,4)=0,$J69&gt;24),"X",""))))</f>
        <v/>
      </c>
      <c r="X69" s="3" t="str">
        <f t="shared" ref="X69:X87" si="35">IF(MOD($S69,4)=2,"X",IF(AND(MOD($S69,4)=1,$J69&gt;8),"X",IF(AND(MOD($S69,4)=0,$J69&gt;16),"X","")))</f>
        <v/>
      </c>
      <c r="Y69" s="3" t="str">
        <f t="shared" ref="Y69:Y87" si="36">IF(MOD($S69,4)=1,"X",IF(AND(MOD($S69,4)=0,$J69&gt;8),"X",""))</f>
        <v>X</v>
      </c>
      <c r="Z69" s="3" t="str">
        <f t="shared" ref="Z69:Z87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>(15 downto 8)</v>
      </c>
      <c r="AD69" s="3" t="str">
        <f t="shared" si="15"/>
        <v>(7 downto 0)</v>
      </c>
      <c r="AE69" s="3" t="str">
        <f t="shared" si="30"/>
        <v/>
      </c>
      <c r="AF69" s="3" t="str">
        <f t="shared" si="31"/>
        <v/>
      </c>
      <c r="AG69" s="3" t="str">
        <f t="shared" si="32"/>
        <v>(15 downto 8)</v>
      </c>
      <c r="AH69" s="3" t="str">
        <f t="shared" si="16"/>
        <v>(7 downto 0)</v>
      </c>
    </row>
    <row r="70" spans="1:34" x14ac:dyDescent="0.25">
      <c r="B70" s="3" t="s">
        <v>224</v>
      </c>
      <c r="C70" s="3" t="s">
        <v>225</v>
      </c>
      <c r="D70" s="3" t="s">
        <v>0</v>
      </c>
      <c r="E70" s="3" t="s">
        <v>232</v>
      </c>
      <c r="F70" s="3" t="s">
        <v>239</v>
      </c>
      <c r="G70" s="3" t="s">
        <v>256</v>
      </c>
      <c r="H70" s="3" t="s">
        <v>858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299</v>
      </c>
      <c r="N70" s="3" t="s">
        <v>746</v>
      </c>
      <c r="O70" s="3" t="s">
        <v>339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236</v>
      </c>
      <c r="T70" s="3" t="str">
        <f t="shared" si="25"/>
        <v>0EC</v>
      </c>
      <c r="U70" s="3">
        <f t="shared" si="33"/>
        <v>59</v>
      </c>
      <c r="V70" s="3" t="str">
        <f t="shared" si="26"/>
        <v>3B</v>
      </c>
      <c r="W70" s="3" t="str">
        <f t="shared" si="34"/>
        <v/>
      </c>
      <c r="X70" s="3" t="str">
        <f t="shared" si="35"/>
        <v/>
      </c>
      <c r="Y70" s="3" t="str">
        <f t="shared" si="36"/>
        <v/>
      </c>
      <c r="Z70" s="3" t="str">
        <f t="shared" si="37"/>
        <v>X</v>
      </c>
      <c r="AA70" s="3" t="str">
        <f t="shared" si="27"/>
        <v/>
      </c>
      <c r="AB70" s="3" t="str">
        <f t="shared" si="28"/>
        <v/>
      </c>
      <c r="AC70" s="3" t="str">
        <f t="shared" si="29"/>
        <v/>
      </c>
      <c r="AD70" s="3" t="str">
        <f t="shared" si="15"/>
        <v>(0)</v>
      </c>
      <c r="AE70" s="3" t="str">
        <f t="shared" si="30"/>
        <v/>
      </c>
      <c r="AF70" s="3" t="str">
        <f t="shared" si="31"/>
        <v/>
      </c>
      <c r="AG70" s="3" t="str">
        <f t="shared" si="32"/>
        <v/>
      </c>
      <c r="AH70" s="3" t="str">
        <f t="shared" si="16"/>
        <v/>
      </c>
    </row>
    <row r="71" spans="1:34" x14ac:dyDescent="0.25">
      <c r="B71" s="3" t="s">
        <v>224</v>
      </c>
      <c r="C71" s="3" t="s">
        <v>226</v>
      </c>
      <c r="D71" s="3" t="s">
        <v>0</v>
      </c>
      <c r="E71" s="3" t="s">
        <v>232</v>
      </c>
      <c r="F71" s="3" t="s">
        <v>239</v>
      </c>
      <c r="G71" s="3" t="s">
        <v>256</v>
      </c>
      <c r="H71" s="3" t="s">
        <v>851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299</v>
      </c>
      <c r="N71" s="3" t="s">
        <v>746</v>
      </c>
      <c r="O71" s="3" t="s">
        <v>854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240</v>
      </c>
      <c r="T71" s="3" t="str">
        <f t="shared" si="25"/>
        <v>0F0</v>
      </c>
      <c r="U71" s="3">
        <f t="shared" si="33"/>
        <v>60</v>
      </c>
      <c r="V71" s="3" t="str">
        <f t="shared" si="26"/>
        <v>3C</v>
      </c>
      <c r="W71" s="3" t="str">
        <f t="shared" si="34"/>
        <v/>
      </c>
      <c r="X71" s="3" t="str">
        <f t="shared" si="35"/>
        <v/>
      </c>
      <c r="Y71" s="3" t="str">
        <f t="shared" si="36"/>
        <v/>
      </c>
      <c r="Z71" s="3" t="str">
        <f t="shared" si="37"/>
        <v>X</v>
      </c>
      <c r="AA71" s="3" t="str">
        <f t="shared" si="27"/>
        <v/>
      </c>
      <c r="AB71" s="3" t="str">
        <f t="shared" si="28"/>
        <v/>
      </c>
      <c r="AC71" s="3" t="str">
        <f t="shared" si="29"/>
        <v/>
      </c>
      <c r="AD71" s="3" t="str">
        <f t="shared" si="15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16"/>
        <v/>
      </c>
    </row>
    <row r="72" spans="1:34" x14ac:dyDescent="0.25">
      <c r="B72" s="3" t="s">
        <v>224</v>
      </c>
      <c r="C72" s="3" t="s">
        <v>845</v>
      </c>
      <c r="D72" s="3" t="s">
        <v>0</v>
      </c>
      <c r="E72" s="3" t="s">
        <v>232</v>
      </c>
      <c r="F72" s="3" t="s">
        <v>239</v>
      </c>
      <c r="G72" s="3" t="s">
        <v>256</v>
      </c>
      <c r="H72" s="3" t="s">
        <v>850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299</v>
      </c>
      <c r="N72" s="3" t="s">
        <v>746</v>
      </c>
      <c r="O72" s="3" t="s">
        <v>855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244</v>
      </c>
      <c r="T72" s="3" t="str">
        <f t="shared" si="25"/>
        <v>0F4</v>
      </c>
      <c r="U72" s="3">
        <f t="shared" si="33"/>
        <v>61</v>
      </c>
      <c r="V72" s="3" t="str">
        <f t="shared" si="26"/>
        <v>3D</v>
      </c>
      <c r="W72" s="3" t="str">
        <f t="shared" si="34"/>
        <v/>
      </c>
      <c r="X72" s="3" t="str">
        <f t="shared" si="35"/>
        <v/>
      </c>
      <c r="Y72" s="3" t="str">
        <f t="shared" si="36"/>
        <v/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/>
      </c>
      <c r="AD72" s="3" t="str">
        <f t="shared" si="15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16"/>
        <v/>
      </c>
    </row>
    <row r="73" spans="1:34" x14ac:dyDescent="0.25">
      <c r="B73" s="3" t="s">
        <v>224</v>
      </c>
      <c r="C73" s="3" t="s">
        <v>227</v>
      </c>
      <c r="D73" s="3" t="s">
        <v>0</v>
      </c>
      <c r="E73" s="3" t="s">
        <v>232</v>
      </c>
      <c r="F73" s="3" t="s">
        <v>239</v>
      </c>
      <c r="G73" s="3" t="s">
        <v>256</v>
      </c>
      <c r="H73" s="3" t="s">
        <v>852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299</v>
      </c>
      <c r="N73" s="3" t="s">
        <v>746</v>
      </c>
      <c r="O73" s="3" t="s">
        <v>853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248</v>
      </c>
      <c r="T73" s="3" t="str">
        <f t="shared" si="25"/>
        <v>0F8</v>
      </c>
      <c r="U73" s="3">
        <f t="shared" si="33"/>
        <v>62</v>
      </c>
      <c r="V73" s="3" t="str">
        <f t="shared" si="26"/>
        <v>3E</v>
      </c>
      <c r="W73" s="3" t="str">
        <f t="shared" si="34"/>
        <v/>
      </c>
      <c r="X73" s="3" t="str">
        <f t="shared" si="35"/>
        <v/>
      </c>
      <c r="Y73" s="3" t="str">
        <f t="shared" si="36"/>
        <v/>
      </c>
      <c r="Z73" s="3" t="str">
        <f t="shared" si="37"/>
        <v>X</v>
      </c>
      <c r="AA73" s="3" t="str">
        <f t="shared" si="27"/>
        <v/>
      </c>
      <c r="AB73" s="3" t="str">
        <f t="shared" si="28"/>
        <v/>
      </c>
      <c r="AC73" s="3" t="str">
        <f t="shared" si="29"/>
        <v/>
      </c>
      <c r="AD73" s="3" t="str">
        <f t="shared" si="15"/>
        <v>(0)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224</v>
      </c>
      <c r="C74" s="3" t="s">
        <v>846</v>
      </c>
      <c r="D74" s="3" t="s">
        <v>0</v>
      </c>
      <c r="E74" s="3" t="s">
        <v>232</v>
      </c>
      <c r="F74" s="3" t="s">
        <v>239</v>
      </c>
      <c r="G74" s="3" t="s">
        <v>256</v>
      </c>
      <c r="H74" s="3" t="s">
        <v>849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299</v>
      </c>
      <c r="N74" s="3" t="s">
        <v>746</v>
      </c>
      <c r="O74" s="3" t="s">
        <v>856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252</v>
      </c>
      <c r="T74" s="3" t="str">
        <f t="shared" si="25"/>
        <v>0FC</v>
      </c>
      <c r="U74" s="3">
        <f t="shared" si="33"/>
        <v>63</v>
      </c>
      <c r="V74" s="3" t="str">
        <f t="shared" si="26"/>
        <v>3F</v>
      </c>
      <c r="W74" s="3" t="str">
        <f t="shared" si="34"/>
        <v/>
      </c>
      <c r="X74" s="3" t="str">
        <f t="shared" si="35"/>
        <v/>
      </c>
      <c r="Y74" s="3" t="str">
        <f t="shared" si="36"/>
        <v/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/>
      </c>
      <c r="AD74" s="3" t="str">
        <f t="shared" si="15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16"/>
        <v/>
      </c>
    </row>
    <row r="75" spans="1:34" x14ac:dyDescent="0.25">
      <c r="B75" s="3" t="s">
        <v>224</v>
      </c>
      <c r="C75" s="3" t="s">
        <v>228</v>
      </c>
      <c r="D75" s="3" t="s">
        <v>0</v>
      </c>
      <c r="E75" s="3" t="s">
        <v>232</v>
      </c>
      <c r="F75" s="3" t="s">
        <v>239</v>
      </c>
      <c r="G75" s="3" t="s">
        <v>256</v>
      </c>
      <c r="H75" s="3" t="s">
        <v>839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299</v>
      </c>
      <c r="N75" s="3" t="s">
        <v>746</v>
      </c>
      <c r="O75" s="3" t="s">
        <v>340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256</v>
      </c>
      <c r="T75" s="3" t="str">
        <f t="shared" si="25"/>
        <v>100</v>
      </c>
      <c r="U75" s="3">
        <f t="shared" si="33"/>
        <v>64</v>
      </c>
      <c r="V75" s="3" t="str">
        <f t="shared" si="26"/>
        <v>40</v>
      </c>
      <c r="W75" s="3" t="str">
        <f t="shared" si="34"/>
        <v/>
      </c>
      <c r="X75" s="3" t="str">
        <f t="shared" si="35"/>
        <v/>
      </c>
      <c r="Y75" s="3" t="str">
        <f t="shared" si="36"/>
        <v/>
      </c>
      <c r="Z75" s="3" t="str">
        <f t="shared" si="37"/>
        <v>X</v>
      </c>
      <c r="AA75" s="3" t="str">
        <f t="shared" si="27"/>
        <v/>
      </c>
      <c r="AB75" s="3" t="str">
        <f t="shared" si="28"/>
        <v/>
      </c>
      <c r="AC75" s="3" t="str">
        <f t="shared" si="29"/>
        <v/>
      </c>
      <c r="AD75" s="3" t="str">
        <f t="shared" si="15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16"/>
        <v/>
      </c>
    </row>
    <row r="76" spans="1:34" x14ac:dyDescent="0.25">
      <c r="B76" s="3" t="s">
        <v>224</v>
      </c>
      <c r="C76" s="3" t="s">
        <v>847</v>
      </c>
      <c r="D76" s="3" t="s">
        <v>0</v>
      </c>
      <c r="E76" s="3" t="s">
        <v>232</v>
      </c>
      <c r="F76" s="3" t="s">
        <v>239</v>
      </c>
      <c r="G76" s="3" t="s">
        <v>256</v>
      </c>
      <c r="H76" s="3" t="s">
        <v>848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299</v>
      </c>
      <c r="N76" s="3" t="s">
        <v>746</v>
      </c>
      <c r="O76" s="3" t="s">
        <v>857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260</v>
      </c>
      <c r="T76" s="3" t="str">
        <f t="shared" si="25"/>
        <v>104</v>
      </c>
      <c r="U76" s="3">
        <f t="shared" si="33"/>
        <v>65</v>
      </c>
      <c r="V76" s="3" t="str">
        <f t="shared" si="26"/>
        <v>41</v>
      </c>
      <c r="W76" s="3" t="str">
        <f t="shared" si="34"/>
        <v/>
      </c>
      <c r="X76" s="3" t="str">
        <f t="shared" si="35"/>
        <v/>
      </c>
      <c r="Y76" s="3" t="str">
        <f t="shared" si="36"/>
        <v/>
      </c>
      <c r="Z76" s="3" t="str">
        <f t="shared" si="37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/>
      </c>
      <c r="AD76" s="3" t="str">
        <f t="shared" si="15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16"/>
        <v/>
      </c>
    </row>
    <row r="77" spans="1:34" x14ac:dyDescent="0.25">
      <c r="B77" s="3" t="s">
        <v>224</v>
      </c>
      <c r="C77" s="3" t="s">
        <v>229</v>
      </c>
      <c r="D77" s="3" t="s">
        <v>0</v>
      </c>
      <c r="E77" s="3" t="s">
        <v>232</v>
      </c>
      <c r="F77" s="3" t="s">
        <v>239</v>
      </c>
      <c r="G77" s="3" t="s">
        <v>256</v>
      </c>
      <c r="H77" s="3" t="s">
        <v>840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299</v>
      </c>
      <c r="N77" s="3" t="s">
        <v>746</v>
      </c>
      <c r="O77" s="3" t="s">
        <v>341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264</v>
      </c>
      <c r="T77" s="3" t="str">
        <f t="shared" si="25"/>
        <v>108</v>
      </c>
      <c r="U77" s="3">
        <f t="shared" si="33"/>
        <v>66</v>
      </c>
      <c r="V77" s="3" t="str">
        <f t="shared" si="26"/>
        <v>42</v>
      </c>
      <c r="W77" s="3" t="str">
        <f t="shared" si="34"/>
        <v/>
      </c>
      <c r="X77" s="3" t="str">
        <f t="shared" si="35"/>
        <v/>
      </c>
      <c r="Y77" s="3" t="str">
        <f t="shared" si="36"/>
        <v/>
      </c>
      <c r="Z77" s="3" t="str">
        <f t="shared" si="37"/>
        <v>X</v>
      </c>
      <c r="AA77" s="3" t="str">
        <f t="shared" si="27"/>
        <v/>
      </c>
      <c r="AB77" s="3" t="str">
        <f t="shared" si="28"/>
        <v/>
      </c>
      <c r="AC77" s="3" t="str">
        <f t="shared" si="29"/>
        <v/>
      </c>
      <c r="AD77" s="3" t="str">
        <f t="shared" si="15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16"/>
        <v/>
      </c>
    </row>
    <row r="78" spans="1:34" x14ac:dyDescent="0.25">
      <c r="B78" s="3" t="s">
        <v>240</v>
      </c>
      <c r="C78" s="3" t="s">
        <v>173</v>
      </c>
      <c r="D78" s="3" t="s">
        <v>0</v>
      </c>
      <c r="E78" s="3" t="s">
        <v>232</v>
      </c>
      <c r="F78" s="3" t="s">
        <v>234</v>
      </c>
      <c r="G78" s="3" t="s">
        <v>257</v>
      </c>
      <c r="H78" s="3" t="s">
        <v>286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299</v>
      </c>
      <c r="N78" s="3" t="s">
        <v>736</v>
      </c>
      <c r="O78" s="3" t="s">
        <v>342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268</v>
      </c>
      <c r="T78" s="3" t="str">
        <f t="shared" si="25"/>
        <v>10C</v>
      </c>
      <c r="U78" s="3">
        <f>ROUNDDOWN(S78/4,0)</f>
        <v>67</v>
      </c>
      <c r="V78" s="3" t="str">
        <f t="shared" si="26"/>
        <v>43</v>
      </c>
      <c r="W78" s="3" t="str">
        <f t="shared" si="34"/>
        <v/>
      </c>
      <c r="X78" s="3" t="str">
        <f t="shared" si="35"/>
        <v/>
      </c>
      <c r="Y78" s="3" t="str">
        <f t="shared" si="36"/>
        <v/>
      </c>
      <c r="Z78" s="3" t="str">
        <f t="shared" si="37"/>
        <v>X</v>
      </c>
      <c r="AA78" s="3" t="str">
        <f t="shared" si="27"/>
        <v/>
      </c>
      <c r="AB78" s="3" t="str">
        <f t="shared" si="28"/>
        <v/>
      </c>
      <c r="AC78" s="3" t="str">
        <f t="shared" si="29"/>
        <v/>
      </c>
      <c r="AD78" s="3" t="str">
        <f t="shared" si="15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16"/>
        <v/>
      </c>
    </row>
    <row r="79" spans="1:34" x14ac:dyDescent="0.25">
      <c r="B79" s="3" t="s">
        <v>240</v>
      </c>
      <c r="C79" s="3" t="s">
        <v>174</v>
      </c>
      <c r="D79" s="3" t="s">
        <v>0</v>
      </c>
      <c r="E79" s="3" t="s">
        <v>232</v>
      </c>
      <c r="F79" s="3" t="s">
        <v>234</v>
      </c>
      <c r="G79" s="3" t="s">
        <v>257</v>
      </c>
      <c r="H79" s="3" t="s">
        <v>287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299</v>
      </c>
      <c r="N79" s="3" t="s">
        <v>736</v>
      </c>
      <c r="O79" s="3" t="s">
        <v>343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272</v>
      </c>
      <c r="T79" s="3" t="str">
        <f t="shared" si="25"/>
        <v>110</v>
      </c>
      <c r="U79" s="3">
        <f t="shared" ref="U79:U87" si="38">ROUNDDOWN(S79/4,0)</f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/>
      </c>
      <c r="Y79" s="3" t="str">
        <f t="shared" si="36"/>
        <v/>
      </c>
      <c r="Z79" s="3" t="str">
        <f t="shared" si="37"/>
        <v>X</v>
      </c>
      <c r="AA79" s="3" t="str">
        <f t="shared" si="27"/>
        <v/>
      </c>
      <c r="AB79" s="3" t="str">
        <f t="shared" si="28"/>
        <v/>
      </c>
      <c r="AC79" s="3" t="str">
        <f t="shared" si="29"/>
        <v/>
      </c>
      <c r="AD79" s="3" t="str">
        <f t="shared" si="15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16"/>
        <v/>
      </c>
    </row>
    <row r="80" spans="1:34" x14ac:dyDescent="0.25">
      <c r="B80" s="3" t="s">
        <v>240</v>
      </c>
      <c r="C80" s="3" t="s">
        <v>175</v>
      </c>
      <c r="D80" s="3" t="s">
        <v>0</v>
      </c>
      <c r="E80" s="3" t="s">
        <v>232</v>
      </c>
      <c r="F80" s="3" t="s">
        <v>234</v>
      </c>
      <c r="G80" s="3" t="s">
        <v>257</v>
      </c>
      <c r="H80" s="3" t="s">
        <v>288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299</v>
      </c>
      <c r="N80" s="3" t="s">
        <v>736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276</v>
      </c>
      <c r="T80" s="3" t="str">
        <f t="shared" si="25"/>
        <v>114</v>
      </c>
      <c r="U80" s="3">
        <f t="shared" si="38"/>
        <v>69</v>
      </c>
      <c r="V80" s="3" t="str">
        <f t="shared" si="26"/>
        <v>45</v>
      </c>
      <c r="W80" s="3" t="str">
        <f t="shared" si="34"/>
        <v/>
      </c>
      <c r="X80" s="3" t="str">
        <f t="shared" si="35"/>
        <v/>
      </c>
      <c r="Y80" s="3" t="str">
        <f t="shared" si="36"/>
        <v/>
      </c>
      <c r="Z80" s="3" t="str">
        <f t="shared" si="37"/>
        <v>X</v>
      </c>
      <c r="AA80" s="3" t="str">
        <f t="shared" si="27"/>
        <v/>
      </c>
      <c r="AB80" s="3" t="str">
        <f t="shared" si="28"/>
        <v/>
      </c>
      <c r="AC80" s="3" t="str">
        <f t="shared" si="29"/>
        <v/>
      </c>
      <c r="AD80" s="3" t="str">
        <f t="shared" si="15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16"/>
        <v/>
      </c>
    </row>
    <row r="81" spans="2:38" x14ac:dyDescent="0.25">
      <c r="B81" s="3" t="s">
        <v>240</v>
      </c>
      <c r="C81" s="3" t="s">
        <v>176</v>
      </c>
      <c r="D81" s="3" t="s">
        <v>0</v>
      </c>
      <c r="E81" s="3" t="s">
        <v>232</v>
      </c>
      <c r="F81" s="3" t="s">
        <v>234</v>
      </c>
      <c r="G81" s="3" t="s">
        <v>257</v>
      </c>
      <c r="H81" s="3" t="s">
        <v>289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299</v>
      </c>
      <c r="N81" s="3" t="s">
        <v>736</v>
      </c>
      <c r="O81" s="3" t="s">
        <v>345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280</v>
      </c>
      <c r="T81" s="3" t="str">
        <f t="shared" si="25"/>
        <v>118</v>
      </c>
      <c r="U81" s="3">
        <f t="shared" si="38"/>
        <v>70</v>
      </c>
      <c r="V81" s="3" t="str">
        <f t="shared" si="26"/>
        <v>46</v>
      </c>
      <c r="W81" s="3" t="str">
        <f t="shared" si="34"/>
        <v/>
      </c>
      <c r="X81" s="3" t="str">
        <f t="shared" si="35"/>
        <v/>
      </c>
      <c r="Y81" s="3" t="str">
        <f t="shared" si="36"/>
        <v/>
      </c>
      <c r="Z81" s="3" t="str">
        <f t="shared" si="37"/>
        <v>X</v>
      </c>
      <c r="AA81" s="3" t="str">
        <f t="shared" si="27"/>
        <v/>
      </c>
      <c r="AB81" s="3" t="str">
        <f t="shared" si="28"/>
        <v/>
      </c>
      <c r="AC81" s="3" t="str">
        <f t="shared" si="29"/>
        <v/>
      </c>
      <c r="AD81" s="3" t="str">
        <f t="shared" si="15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16"/>
        <v/>
      </c>
    </row>
    <row r="82" spans="2:38" x14ac:dyDescent="0.25">
      <c r="B82" s="3" t="s">
        <v>240</v>
      </c>
      <c r="C82" s="3" t="s">
        <v>182</v>
      </c>
      <c r="D82" s="3" t="s">
        <v>0</v>
      </c>
      <c r="E82" s="3" t="s">
        <v>232</v>
      </c>
      <c r="F82" s="3" t="s">
        <v>234</v>
      </c>
      <c r="G82" s="3" t="s">
        <v>257</v>
      </c>
      <c r="H82" s="3" t="s">
        <v>290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299</v>
      </c>
      <c r="N82" s="3" t="s">
        <v>736</v>
      </c>
      <c r="O82" s="3" t="s">
        <v>346</v>
      </c>
      <c r="P82" s="3" t="s">
        <v>101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284</v>
      </c>
      <c r="T82" s="3" t="str">
        <f t="shared" si="25"/>
        <v>11C</v>
      </c>
      <c r="U82" s="3">
        <f t="shared" si="38"/>
        <v>71</v>
      </c>
      <c r="V82" s="3" t="str">
        <f t="shared" si="26"/>
        <v>47</v>
      </c>
      <c r="W82" s="3" t="str">
        <f t="shared" si="34"/>
        <v>X</v>
      </c>
      <c r="X82" s="3" t="str">
        <f t="shared" si="35"/>
        <v>X</v>
      </c>
      <c r="Y82" s="3" t="str">
        <f t="shared" si="36"/>
        <v>X</v>
      </c>
      <c r="Z82" s="3" t="str">
        <f t="shared" si="37"/>
        <v>X</v>
      </c>
      <c r="AA82" s="3" t="str">
        <f t="shared" si="27"/>
        <v>(31 downto 24)</v>
      </c>
      <c r="AB82" s="3" t="str">
        <f t="shared" si="28"/>
        <v>(23 downto 16)</v>
      </c>
      <c r="AC82" s="3" t="str">
        <f t="shared" si="29"/>
        <v>(15 downto 8)</v>
      </c>
      <c r="AD82" s="3" t="str">
        <f t="shared" ref="AD82:AD87" si="39">IF(Z82="","",CONCATENATE("(",IF($J82=1,"0)",CONCATENATE(IF($J82&gt;=8,8,$J82)-1," downto 0)"))))</f>
        <v>(7 downto 0)</v>
      </c>
      <c r="AE82" s="3" t="str">
        <f t="shared" si="30"/>
        <v>(31 downto 24)</v>
      </c>
      <c r="AF82" s="3" t="str">
        <f t="shared" si="31"/>
        <v>(23 downto 16)</v>
      </c>
      <c r="AG82" s="3" t="str">
        <f t="shared" si="32"/>
        <v>(15 downto 8)</v>
      </c>
      <c r="AH82" s="3" t="str">
        <f t="shared" ref="AH82:AH87" si="40">IF(Z82="","",IF($J82&lt;=8,"",CONCATENATE("(",IF($J82&gt;=8,7,$J82-1)," downto ",0,")")))</f>
        <v>(7 downto 0)</v>
      </c>
    </row>
    <row r="83" spans="2:38" x14ac:dyDescent="0.25">
      <c r="B83" s="3" t="s">
        <v>240</v>
      </c>
      <c r="C83" s="3" t="s">
        <v>177</v>
      </c>
      <c r="D83" s="3" t="s">
        <v>0</v>
      </c>
      <c r="E83" s="3" t="s">
        <v>232</v>
      </c>
      <c r="F83" s="3" t="s">
        <v>234</v>
      </c>
      <c r="G83" s="3" t="s">
        <v>257</v>
      </c>
      <c r="H83" s="3" t="s">
        <v>291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299</v>
      </c>
      <c r="N83" s="3" t="s">
        <v>736</v>
      </c>
      <c r="O83" s="3" t="s">
        <v>347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288</v>
      </c>
      <c r="T83" s="3" t="str">
        <f t="shared" si="25"/>
        <v>120</v>
      </c>
      <c r="U83" s="3">
        <f t="shared" si="38"/>
        <v>72</v>
      </c>
      <c r="V83" s="3" t="str">
        <f t="shared" si="26"/>
        <v>48</v>
      </c>
      <c r="W83" s="3" t="str">
        <f t="shared" si="34"/>
        <v/>
      </c>
      <c r="X83" s="3" t="str">
        <f t="shared" si="35"/>
        <v/>
      </c>
      <c r="Y83" s="3" t="str">
        <f t="shared" si="36"/>
        <v/>
      </c>
      <c r="Z83" s="3" t="str">
        <f t="shared" si="37"/>
        <v>X</v>
      </c>
      <c r="AA83" s="3" t="str">
        <f t="shared" si="27"/>
        <v/>
      </c>
      <c r="AB83" s="3" t="str">
        <f t="shared" si="28"/>
        <v/>
      </c>
      <c r="AC83" s="3" t="str">
        <f t="shared" si="29"/>
        <v/>
      </c>
      <c r="AD83" s="3" t="str">
        <f t="shared" si="3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40"/>
        <v/>
      </c>
    </row>
    <row r="84" spans="2:38" x14ac:dyDescent="0.25">
      <c r="B84" s="3" t="s">
        <v>240</v>
      </c>
      <c r="C84" s="3" t="s">
        <v>178</v>
      </c>
      <c r="D84" s="3" t="s">
        <v>0</v>
      </c>
      <c r="E84" s="3" t="s">
        <v>232</v>
      </c>
      <c r="F84" s="3" t="s">
        <v>234</v>
      </c>
      <c r="G84" s="3" t="s">
        <v>257</v>
      </c>
      <c r="H84" s="3" t="s">
        <v>292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299</v>
      </c>
      <c r="N84" s="3" t="s">
        <v>736</v>
      </c>
      <c r="O84" s="3" t="s">
        <v>348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292</v>
      </c>
      <c r="T84" s="3" t="str">
        <f t="shared" si="25"/>
        <v>124</v>
      </c>
      <c r="U84" s="3">
        <f t="shared" si="38"/>
        <v>73</v>
      </c>
      <c r="V84" s="3" t="str">
        <f t="shared" si="26"/>
        <v>49</v>
      </c>
      <c r="W84" s="3" t="str">
        <f t="shared" si="34"/>
        <v/>
      </c>
      <c r="X84" s="3" t="str">
        <f t="shared" si="35"/>
        <v/>
      </c>
      <c r="Y84" s="3" t="str">
        <f t="shared" si="36"/>
        <v/>
      </c>
      <c r="Z84" s="3" t="str">
        <f t="shared" si="37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/>
      </c>
      <c r="AD84" s="3" t="str">
        <f t="shared" si="3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40"/>
        <v/>
      </c>
    </row>
    <row r="85" spans="2:38" x14ac:dyDescent="0.25">
      <c r="B85" s="3" t="s">
        <v>240</v>
      </c>
      <c r="C85" s="3" t="s">
        <v>179</v>
      </c>
      <c r="D85" s="3" t="s">
        <v>0</v>
      </c>
      <c r="E85" s="3" t="s">
        <v>232</v>
      </c>
      <c r="F85" s="3" t="s">
        <v>234</v>
      </c>
      <c r="G85" s="3" t="s">
        <v>257</v>
      </c>
      <c r="H85" s="3" t="s">
        <v>293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299</v>
      </c>
      <c r="N85" s="3" t="s">
        <v>736</v>
      </c>
      <c r="O85" s="3" t="s">
        <v>349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296</v>
      </c>
      <c r="T85" s="3" t="str">
        <f t="shared" si="25"/>
        <v>128</v>
      </c>
      <c r="U85" s="3">
        <f t="shared" si="38"/>
        <v>74</v>
      </c>
      <c r="V85" s="3" t="str">
        <f t="shared" si="26"/>
        <v>4A</v>
      </c>
      <c r="W85" s="3" t="str">
        <f t="shared" si="34"/>
        <v/>
      </c>
      <c r="X85" s="3" t="str">
        <f t="shared" si="35"/>
        <v/>
      </c>
      <c r="Y85" s="3" t="str">
        <f t="shared" si="36"/>
        <v/>
      </c>
      <c r="Z85" s="3" t="str">
        <f t="shared" si="37"/>
        <v>X</v>
      </c>
      <c r="AA85" s="3" t="str">
        <f t="shared" si="27"/>
        <v/>
      </c>
      <c r="AB85" s="3" t="str">
        <f t="shared" si="28"/>
        <v/>
      </c>
      <c r="AC85" s="3" t="str">
        <f t="shared" si="29"/>
        <v/>
      </c>
      <c r="AD85" s="3" t="str">
        <f t="shared" si="3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40"/>
        <v/>
      </c>
      <c r="AI85" s="8"/>
      <c r="AJ85" s="8"/>
      <c r="AK85" s="8"/>
      <c r="AL85" s="8"/>
    </row>
    <row r="86" spans="2:38" x14ac:dyDescent="0.25">
      <c r="B86" s="3" t="s">
        <v>240</v>
      </c>
      <c r="C86" s="3" t="s">
        <v>180</v>
      </c>
      <c r="D86" s="3" t="s">
        <v>0</v>
      </c>
      <c r="E86" s="3" t="s">
        <v>232</v>
      </c>
      <c r="F86" s="3" t="s">
        <v>234</v>
      </c>
      <c r="G86" s="3" t="s">
        <v>257</v>
      </c>
      <c r="H86" s="3" t="s">
        <v>294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299</v>
      </c>
      <c r="N86" s="3" t="s">
        <v>736</v>
      </c>
      <c r="O86" s="3" t="s">
        <v>350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300</v>
      </c>
      <c r="T86" s="3" t="str">
        <f t="shared" si="25"/>
        <v>12C</v>
      </c>
      <c r="U86" s="3">
        <f t="shared" si="38"/>
        <v>75</v>
      </c>
      <c r="V86" s="3" t="str">
        <f t="shared" si="26"/>
        <v>4B</v>
      </c>
      <c r="W86" s="3" t="str">
        <f t="shared" si="34"/>
        <v/>
      </c>
      <c r="X86" s="3" t="str">
        <f t="shared" si="35"/>
        <v/>
      </c>
      <c r="Y86" s="3" t="str">
        <f t="shared" si="36"/>
        <v/>
      </c>
      <c r="Z86" s="3" t="str">
        <f t="shared" si="37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/>
      </c>
      <c r="AD86" s="3" t="str">
        <f t="shared" si="3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40"/>
        <v/>
      </c>
    </row>
    <row r="87" spans="2:38" x14ac:dyDescent="0.25">
      <c r="B87" s="3" t="s">
        <v>240</v>
      </c>
      <c r="C87" s="3" t="s">
        <v>181</v>
      </c>
      <c r="D87" s="3" t="s">
        <v>0</v>
      </c>
      <c r="E87" s="3" t="s">
        <v>232</v>
      </c>
      <c r="F87" s="3" t="s">
        <v>234</v>
      </c>
      <c r="G87" s="3" t="s">
        <v>257</v>
      </c>
      <c r="H87" s="3" t="s">
        <v>295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299</v>
      </c>
      <c r="N87" s="3" t="s">
        <v>736</v>
      </c>
      <c r="O87" s="3" t="s">
        <v>351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304</v>
      </c>
      <c r="T87" s="3" t="str">
        <f t="shared" si="25"/>
        <v>130</v>
      </c>
      <c r="U87" s="3">
        <f t="shared" si="38"/>
        <v>76</v>
      </c>
      <c r="V87" s="3" t="str">
        <f t="shared" si="26"/>
        <v>4C</v>
      </c>
      <c r="W87" s="3" t="str">
        <f t="shared" si="34"/>
        <v/>
      </c>
      <c r="X87" s="3" t="str">
        <f t="shared" si="35"/>
        <v/>
      </c>
      <c r="Y87" s="3" t="str">
        <f t="shared" si="36"/>
        <v/>
      </c>
      <c r="Z87" s="3" t="str">
        <f t="shared" si="37"/>
        <v>X</v>
      </c>
      <c r="AA87" s="3" t="str">
        <f t="shared" si="27"/>
        <v/>
      </c>
      <c r="AB87" s="3" t="str">
        <f t="shared" si="28"/>
        <v/>
      </c>
      <c r="AC87" s="3" t="str">
        <f t="shared" si="29"/>
        <v/>
      </c>
      <c r="AD87" s="3" t="str">
        <f t="shared" si="3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40"/>
        <v/>
      </c>
    </row>
    <row r="88" spans="2:38" s="18" customForma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8"/>
      <c r="AB88" s="8"/>
      <c r="AC88" s="8"/>
      <c r="AD88" s="8"/>
      <c r="AE88" s="8"/>
      <c r="AF88" s="8"/>
      <c r="AG88" s="8"/>
      <c r="AH88" s="8"/>
    </row>
  </sheetData>
  <autoFilter ref="B3:AH87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103</v>
      </c>
      <c r="C2" s="30"/>
      <c r="D2" s="30"/>
      <c r="F2" s="30" t="s">
        <v>147</v>
      </c>
      <c r="G2" s="30"/>
      <c r="H2" s="17"/>
      <c r="I2" s="30" t="s">
        <v>140</v>
      </c>
      <c r="J2" s="30"/>
      <c r="K2" s="17"/>
      <c r="L2" s="30" t="s">
        <v>1018</v>
      </c>
      <c r="M2" s="30"/>
      <c r="N2" s="30"/>
      <c r="O2" s="30"/>
      <c r="P2" s="30"/>
      <c r="Q2" s="30"/>
    </row>
    <row r="3" spans="2:17" x14ac:dyDescent="0.25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148</v>
      </c>
      <c r="H3" s="15"/>
      <c r="I3" s="14" t="s">
        <v>141</v>
      </c>
      <c r="J3" s="14" t="s">
        <v>142</v>
      </c>
      <c r="K3" s="20"/>
      <c r="L3" s="3" t="s">
        <v>93</v>
      </c>
      <c r="M3" s="3" t="s">
        <v>93</v>
      </c>
      <c r="N3" s="30" t="s">
        <v>1019</v>
      </c>
      <c r="O3" s="30"/>
      <c r="P3" s="30"/>
      <c r="Q3" s="30"/>
    </row>
    <row r="4" spans="2:17" x14ac:dyDescent="0.25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149</v>
      </c>
      <c r="I4" s="3" t="str">
        <f>Main!$B$2</f>
        <v>Register Comment</v>
      </c>
      <c r="J4" s="3">
        <f>MATCH($I4,Main!$B$2:$AH$2,0)+1</f>
        <v>2</v>
      </c>
      <c r="L4" s="3" t="s">
        <v>93</v>
      </c>
      <c r="M4" s="3" t="s">
        <v>93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149</v>
      </c>
      <c r="I5" s="3" t="str">
        <f>Main!$C$2</f>
        <v>Field Comment</v>
      </c>
      <c r="J5" s="3">
        <f>MATCH($I5,Main!$B$2:$AH$2,0)+1</f>
        <v>3</v>
      </c>
      <c r="L5" s="32" t="s">
        <v>1017</v>
      </c>
      <c r="M5" s="3">
        <v>0</v>
      </c>
      <c r="N5" s="21">
        <v>0</v>
      </c>
      <c r="O5" s="22">
        <v>0</v>
      </c>
      <c r="P5" s="22">
        <v>0</v>
      </c>
      <c r="Q5" s="23">
        <v>4</v>
      </c>
    </row>
    <row r="6" spans="2:17" x14ac:dyDescent="0.25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149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4">
        <v>0</v>
      </c>
      <c r="O6" s="25">
        <v>1</v>
      </c>
      <c r="P6" s="25">
        <v>3</v>
      </c>
      <c r="Q6" s="26">
        <v>7</v>
      </c>
    </row>
    <row r="7" spans="2:17" x14ac:dyDescent="0.25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150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4">
        <v>0</v>
      </c>
      <c r="O7" s="25">
        <v>0</v>
      </c>
      <c r="P7" s="25">
        <v>2</v>
      </c>
      <c r="Q7" s="26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150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7">
        <v>0</v>
      </c>
      <c r="O8" s="28">
        <v>1</v>
      </c>
      <c r="P8" s="28">
        <v>1</v>
      </c>
      <c r="Q8" s="29">
        <v>5</v>
      </c>
    </row>
    <row r="9" spans="2:17" x14ac:dyDescent="0.25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150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152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152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152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151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151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151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153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153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153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154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154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154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155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156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156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156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157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157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157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169</v>
      </c>
      <c r="H2" s="1" t="s">
        <v>159</v>
      </c>
    </row>
    <row r="3" spans="2:8" x14ac:dyDescent="0.25">
      <c r="B3" s="3" t="s">
        <v>353</v>
      </c>
      <c r="H3" t="s">
        <v>171</v>
      </c>
    </row>
    <row r="5" spans="2:8" x14ac:dyDescent="0.25">
      <c r="B5" s="19" t="s">
        <v>170</v>
      </c>
      <c r="H5" t="s">
        <v>172</v>
      </c>
    </row>
    <row r="6" spans="2:8" x14ac:dyDescent="0.25">
      <c r="B6" s="3" t="s">
        <v>354</v>
      </c>
      <c r="H6" t="s">
        <v>355</v>
      </c>
    </row>
    <row r="7" spans="2:8" x14ac:dyDescent="0.25">
      <c r="H7" t="s">
        <v>1024</v>
      </c>
    </row>
    <row r="8" spans="2:8" x14ac:dyDescent="0.25">
      <c r="B8" s="19" t="s">
        <v>168</v>
      </c>
    </row>
    <row r="9" spans="2:8" x14ac:dyDescent="0.25">
      <c r="B9" s="3">
        <v>256</v>
      </c>
      <c r="H9" t="s">
        <v>160</v>
      </c>
    </row>
    <row r="11" spans="2:8" x14ac:dyDescent="0.25">
      <c r="B11" s="19"/>
      <c r="H11" t="s">
        <v>356</v>
      </c>
    </row>
    <row r="12" spans="2:8" x14ac:dyDescent="0.25">
      <c r="H12" t="s">
        <v>357</v>
      </c>
    </row>
    <row r="13" spans="2:8" x14ac:dyDescent="0.25">
      <c r="H13" t="s">
        <v>358</v>
      </c>
    </row>
    <row r="14" spans="2:8" x14ac:dyDescent="0.25">
      <c r="B14" s="19"/>
      <c r="H14" t="s">
        <v>359</v>
      </c>
    </row>
    <row r="16" spans="2:8" x14ac:dyDescent="0.25">
      <c r="H16" t="s">
        <v>360</v>
      </c>
    </row>
    <row r="17" spans="2:8" x14ac:dyDescent="0.25">
      <c r="B17" s="19"/>
      <c r="H17" t="s">
        <v>361</v>
      </c>
    </row>
    <row r="18" spans="2:8" x14ac:dyDescent="0.25">
      <c r="H18" t="s">
        <v>362</v>
      </c>
    </row>
    <row r="19" spans="2:8" x14ac:dyDescent="0.25">
      <c r="H19" t="s">
        <v>363</v>
      </c>
    </row>
    <row r="20" spans="2:8" x14ac:dyDescent="0.25">
      <c r="B20" s="19"/>
      <c r="H20" t="s">
        <v>651</v>
      </c>
    </row>
    <row r="21" spans="2:8" x14ac:dyDescent="0.25">
      <c r="H21" t="s">
        <v>652</v>
      </c>
    </row>
    <row r="22" spans="2:8" x14ac:dyDescent="0.25">
      <c r="H22" t="s">
        <v>364</v>
      </c>
    </row>
    <row r="23" spans="2:8" x14ac:dyDescent="0.25">
      <c r="H23" t="s">
        <v>365</v>
      </c>
    </row>
    <row r="25" spans="2:8" x14ac:dyDescent="0.25">
      <c r="H25" t="s">
        <v>366</v>
      </c>
    </row>
    <row r="26" spans="2:8" x14ac:dyDescent="0.25">
      <c r="H26" t="s">
        <v>367</v>
      </c>
    </row>
    <row r="27" spans="2:8" x14ac:dyDescent="0.25">
      <c r="H27" t="s">
        <v>368</v>
      </c>
    </row>
    <row r="28" spans="2:8" x14ac:dyDescent="0.25">
      <c r="H28" t="s">
        <v>369</v>
      </c>
    </row>
    <row r="29" spans="2:8" x14ac:dyDescent="0.25">
      <c r="H29" t="s">
        <v>653</v>
      </c>
    </row>
    <row r="30" spans="2:8" x14ac:dyDescent="0.25">
      <c r="H30" t="s">
        <v>654</v>
      </c>
    </row>
    <row r="31" spans="2:8" x14ac:dyDescent="0.25">
      <c r="H31" t="s">
        <v>370</v>
      </c>
    </row>
    <row r="32" spans="2:8" x14ac:dyDescent="0.25">
      <c r="H32" t="s">
        <v>371</v>
      </c>
    </row>
    <row r="34" spans="8:8" x14ac:dyDescent="0.25">
      <c r="H34" t="s">
        <v>372</v>
      </c>
    </row>
    <row r="35" spans="8:8" x14ac:dyDescent="0.25">
      <c r="H35" t="s">
        <v>373</v>
      </c>
    </row>
    <row r="36" spans="8:8" x14ac:dyDescent="0.25">
      <c r="H36" t="s">
        <v>374</v>
      </c>
    </row>
    <row r="37" spans="8:8" x14ac:dyDescent="0.25">
      <c r="H37" t="s">
        <v>375</v>
      </c>
    </row>
    <row r="38" spans="8:8" x14ac:dyDescent="0.25">
      <c r="H38" t="s">
        <v>655</v>
      </c>
    </row>
    <row r="39" spans="8:8" x14ac:dyDescent="0.25">
      <c r="H39" t="s">
        <v>656</v>
      </c>
    </row>
    <row r="40" spans="8:8" x14ac:dyDescent="0.25">
      <c r="H40" t="s">
        <v>376</v>
      </c>
    </row>
    <row r="41" spans="8:8" x14ac:dyDescent="0.25">
      <c r="H41" t="s">
        <v>377</v>
      </c>
    </row>
    <row r="43" spans="8:8" x14ac:dyDescent="0.25">
      <c r="H43" t="s">
        <v>657</v>
      </c>
    </row>
    <row r="44" spans="8:8" x14ac:dyDescent="0.25">
      <c r="H44" t="s">
        <v>658</v>
      </c>
    </row>
    <row r="45" spans="8:8" x14ac:dyDescent="0.25">
      <c r="H45" t="s">
        <v>659</v>
      </c>
    </row>
    <row r="46" spans="8:8" x14ac:dyDescent="0.25">
      <c r="H46" t="s">
        <v>660</v>
      </c>
    </row>
    <row r="47" spans="8:8" x14ac:dyDescent="0.25">
      <c r="H47" t="s">
        <v>661</v>
      </c>
    </row>
    <row r="48" spans="8:8" x14ac:dyDescent="0.25">
      <c r="H48" t="s">
        <v>958</v>
      </c>
    </row>
    <row r="49" spans="8:8" x14ac:dyDescent="0.25">
      <c r="H49" t="s">
        <v>662</v>
      </c>
    </row>
    <row r="51" spans="8:8" x14ac:dyDescent="0.25">
      <c r="H51" t="s">
        <v>378</v>
      </c>
    </row>
    <row r="52" spans="8:8" x14ac:dyDescent="0.25">
      <c r="H52" t="s">
        <v>379</v>
      </c>
    </row>
    <row r="53" spans="8:8" x14ac:dyDescent="0.25">
      <c r="H53" t="s">
        <v>859</v>
      </c>
    </row>
    <row r="54" spans="8:8" x14ac:dyDescent="0.25">
      <c r="H54" t="s">
        <v>860</v>
      </c>
    </row>
    <row r="55" spans="8:8" x14ac:dyDescent="0.25">
      <c r="H55" t="s">
        <v>861</v>
      </c>
    </row>
    <row r="56" spans="8:8" x14ac:dyDescent="0.25">
      <c r="H56" t="s">
        <v>862</v>
      </c>
    </row>
    <row r="57" spans="8:8" x14ac:dyDescent="0.25">
      <c r="H57" t="s">
        <v>863</v>
      </c>
    </row>
    <row r="58" spans="8:8" x14ac:dyDescent="0.25">
      <c r="H58" t="s">
        <v>978</v>
      </c>
    </row>
    <row r="59" spans="8:8" x14ac:dyDescent="0.25">
      <c r="H59" t="s">
        <v>864</v>
      </c>
    </row>
    <row r="60" spans="8:8" x14ac:dyDescent="0.25">
      <c r="H60" t="s">
        <v>865</v>
      </c>
    </row>
    <row r="61" spans="8:8" x14ac:dyDescent="0.25">
      <c r="H61" t="s">
        <v>866</v>
      </c>
    </row>
    <row r="62" spans="8:8" x14ac:dyDescent="0.25">
      <c r="H62" t="s">
        <v>867</v>
      </c>
    </row>
    <row r="63" spans="8:8" x14ac:dyDescent="0.25">
      <c r="H63" t="s">
        <v>380</v>
      </c>
    </row>
    <row r="65" spans="8:8" x14ac:dyDescent="0.25">
      <c r="H65" t="s">
        <v>381</v>
      </c>
    </row>
    <row r="66" spans="8:8" x14ac:dyDescent="0.25">
      <c r="H66" t="s">
        <v>382</v>
      </c>
    </row>
    <row r="67" spans="8:8" x14ac:dyDescent="0.25">
      <c r="H67" t="s">
        <v>868</v>
      </c>
    </row>
    <row r="68" spans="8:8" x14ac:dyDescent="0.25">
      <c r="H68" t="s">
        <v>869</v>
      </c>
    </row>
    <row r="69" spans="8:8" x14ac:dyDescent="0.25">
      <c r="H69" t="s">
        <v>870</v>
      </c>
    </row>
    <row r="70" spans="8:8" x14ac:dyDescent="0.25">
      <c r="H70" t="s">
        <v>871</v>
      </c>
    </row>
    <row r="71" spans="8:8" x14ac:dyDescent="0.25">
      <c r="H71" t="s">
        <v>979</v>
      </c>
    </row>
    <row r="72" spans="8:8" x14ac:dyDescent="0.25">
      <c r="H72" t="s">
        <v>872</v>
      </c>
    </row>
    <row r="73" spans="8:8" x14ac:dyDescent="0.25">
      <c r="H73" t="s">
        <v>873</v>
      </c>
    </row>
    <row r="74" spans="8:8" x14ac:dyDescent="0.25">
      <c r="H74" t="s">
        <v>874</v>
      </c>
    </row>
    <row r="75" spans="8:8" x14ac:dyDescent="0.25">
      <c r="H75" t="s">
        <v>875</v>
      </c>
    </row>
    <row r="76" spans="8:8" x14ac:dyDescent="0.25">
      <c r="H76" t="s">
        <v>876</v>
      </c>
    </row>
    <row r="77" spans="8:8" x14ac:dyDescent="0.25">
      <c r="H77" t="s">
        <v>383</v>
      </c>
    </row>
    <row r="79" spans="8:8" x14ac:dyDescent="0.25">
      <c r="H79" t="s">
        <v>384</v>
      </c>
    </row>
    <row r="80" spans="8:8" x14ac:dyDescent="0.25">
      <c r="H80" t="s">
        <v>385</v>
      </c>
    </row>
    <row r="81" spans="8:8" x14ac:dyDescent="0.25">
      <c r="H81" t="s">
        <v>386</v>
      </c>
    </row>
    <row r="82" spans="8:8" x14ac:dyDescent="0.25">
      <c r="H82" t="s">
        <v>791</v>
      </c>
    </row>
    <row r="83" spans="8:8" x14ac:dyDescent="0.25">
      <c r="H83" t="s">
        <v>387</v>
      </c>
    </row>
    <row r="84" spans="8:8" x14ac:dyDescent="0.25">
      <c r="H84" t="s">
        <v>388</v>
      </c>
    </row>
    <row r="85" spans="8:8" x14ac:dyDescent="0.25">
      <c r="H85" t="s">
        <v>389</v>
      </c>
    </row>
    <row r="86" spans="8:8" x14ac:dyDescent="0.25">
      <c r="H86" t="s">
        <v>792</v>
      </c>
    </row>
    <row r="87" spans="8:8" x14ac:dyDescent="0.25">
      <c r="H87" t="s">
        <v>390</v>
      </c>
    </row>
    <row r="88" spans="8:8" x14ac:dyDescent="0.25">
      <c r="H88" t="s">
        <v>391</v>
      </c>
    </row>
    <row r="89" spans="8:8" x14ac:dyDescent="0.25">
      <c r="H89" t="s">
        <v>392</v>
      </c>
    </row>
    <row r="90" spans="8:8" x14ac:dyDescent="0.25">
      <c r="H90" t="s">
        <v>793</v>
      </c>
    </row>
    <row r="91" spans="8:8" x14ac:dyDescent="0.25">
      <c r="H91" t="s">
        <v>393</v>
      </c>
    </row>
    <row r="92" spans="8:8" x14ac:dyDescent="0.25">
      <c r="H92" t="s">
        <v>394</v>
      </c>
    </row>
    <row r="93" spans="8:8" x14ac:dyDescent="0.25">
      <c r="H93" t="s">
        <v>395</v>
      </c>
    </row>
    <row r="95" spans="8:8" x14ac:dyDescent="0.25">
      <c r="H95" t="s">
        <v>950</v>
      </c>
    </row>
    <row r="96" spans="8:8" x14ac:dyDescent="0.25">
      <c r="H96" t="s">
        <v>396</v>
      </c>
    </row>
    <row r="97" spans="8:8" x14ac:dyDescent="0.25">
      <c r="H97" t="s">
        <v>397</v>
      </c>
    </row>
    <row r="98" spans="8:8" x14ac:dyDescent="0.25">
      <c r="H98" t="s">
        <v>399</v>
      </c>
    </row>
    <row r="99" spans="8:8" x14ac:dyDescent="0.25">
      <c r="H99" t="s">
        <v>398</v>
      </c>
    </row>
    <row r="100" spans="8:8" x14ac:dyDescent="0.25">
      <c r="H100" t="s">
        <v>951</v>
      </c>
    </row>
    <row r="101" spans="8:8" x14ac:dyDescent="0.25">
      <c r="H101" t="s">
        <v>400</v>
      </c>
    </row>
    <row r="102" spans="8:8" x14ac:dyDescent="0.25">
      <c r="H102" t="s">
        <v>402</v>
      </c>
    </row>
    <row r="103" spans="8:8" x14ac:dyDescent="0.25">
      <c r="H103" t="s">
        <v>401</v>
      </c>
    </row>
    <row r="104" spans="8:8" x14ac:dyDescent="0.25">
      <c r="H104" t="s">
        <v>952</v>
      </c>
    </row>
    <row r="105" spans="8:8" x14ac:dyDescent="0.25">
      <c r="H105" t="s">
        <v>403</v>
      </c>
    </row>
    <row r="106" spans="8:8" x14ac:dyDescent="0.25">
      <c r="H106" t="s">
        <v>405</v>
      </c>
    </row>
    <row r="107" spans="8:8" x14ac:dyDescent="0.25">
      <c r="H107" t="s">
        <v>404</v>
      </c>
    </row>
    <row r="108" spans="8:8" x14ac:dyDescent="0.25">
      <c r="H108" t="s">
        <v>953</v>
      </c>
    </row>
    <row r="109" spans="8:8" x14ac:dyDescent="0.25">
      <c r="H109" t="s">
        <v>406</v>
      </c>
    </row>
    <row r="111" spans="8:8" x14ac:dyDescent="0.25">
      <c r="H111" t="s">
        <v>407</v>
      </c>
    </row>
    <row r="112" spans="8:8" x14ac:dyDescent="0.25">
      <c r="H112" t="s">
        <v>408</v>
      </c>
    </row>
    <row r="113" spans="8:8" x14ac:dyDescent="0.25">
      <c r="H113" t="s">
        <v>409</v>
      </c>
    </row>
    <row r="114" spans="8:8" x14ac:dyDescent="0.25">
      <c r="H114" t="s">
        <v>986</v>
      </c>
    </row>
    <row r="115" spans="8:8" x14ac:dyDescent="0.25">
      <c r="H115" t="s">
        <v>877</v>
      </c>
    </row>
    <row r="116" spans="8:8" x14ac:dyDescent="0.25">
      <c r="H116" t="s">
        <v>878</v>
      </c>
    </row>
    <row r="117" spans="8:8" x14ac:dyDescent="0.25">
      <c r="H117" t="s">
        <v>879</v>
      </c>
    </row>
    <row r="118" spans="8:8" x14ac:dyDescent="0.25">
      <c r="H118" t="s">
        <v>880</v>
      </c>
    </row>
    <row r="119" spans="8:8" x14ac:dyDescent="0.25">
      <c r="H119" t="s">
        <v>881</v>
      </c>
    </row>
    <row r="120" spans="8:8" x14ac:dyDescent="0.25">
      <c r="H120" t="s">
        <v>882</v>
      </c>
    </row>
    <row r="121" spans="8:8" x14ac:dyDescent="0.25">
      <c r="H121" t="s">
        <v>883</v>
      </c>
    </row>
    <row r="122" spans="8:8" x14ac:dyDescent="0.25">
      <c r="H122" t="s">
        <v>884</v>
      </c>
    </row>
    <row r="123" spans="8:8" x14ac:dyDescent="0.25">
      <c r="H123" t="s">
        <v>410</v>
      </c>
    </row>
    <row r="125" spans="8:8" x14ac:dyDescent="0.25">
      <c r="H125" t="s">
        <v>411</v>
      </c>
    </row>
    <row r="126" spans="8:8" x14ac:dyDescent="0.25">
      <c r="H126" t="s">
        <v>412</v>
      </c>
    </row>
    <row r="127" spans="8:8" x14ac:dyDescent="0.25">
      <c r="H127" t="s">
        <v>413</v>
      </c>
    </row>
    <row r="128" spans="8:8" x14ac:dyDescent="0.25">
      <c r="H128" t="s">
        <v>414</v>
      </c>
    </row>
    <row r="129" spans="8:8" x14ac:dyDescent="0.25">
      <c r="H129" t="s">
        <v>415</v>
      </c>
    </row>
    <row r="130" spans="8:8" x14ac:dyDescent="0.25">
      <c r="H130" t="s">
        <v>416</v>
      </c>
    </row>
    <row r="131" spans="8:8" x14ac:dyDescent="0.25">
      <c r="H131" t="s">
        <v>417</v>
      </c>
    </row>
    <row r="132" spans="8:8" x14ac:dyDescent="0.25">
      <c r="H132" t="s">
        <v>418</v>
      </c>
    </row>
    <row r="133" spans="8:8" x14ac:dyDescent="0.25">
      <c r="H133" t="s">
        <v>419</v>
      </c>
    </row>
    <row r="134" spans="8:8" x14ac:dyDescent="0.25">
      <c r="H134" t="s">
        <v>420</v>
      </c>
    </row>
    <row r="135" spans="8:8" x14ac:dyDescent="0.25">
      <c r="H135" t="s">
        <v>421</v>
      </c>
    </row>
    <row r="136" spans="8:8" x14ac:dyDescent="0.25">
      <c r="H136" t="s">
        <v>422</v>
      </c>
    </row>
    <row r="137" spans="8:8" x14ac:dyDescent="0.25">
      <c r="H137" t="s">
        <v>423</v>
      </c>
    </row>
    <row r="139" spans="8:8" x14ac:dyDescent="0.25">
      <c r="H139" t="s">
        <v>161</v>
      </c>
    </row>
    <row r="141" spans="8:8" x14ac:dyDescent="0.25">
      <c r="H141" t="s">
        <v>162</v>
      </c>
    </row>
    <row r="142" spans="8:8" x14ac:dyDescent="0.25">
      <c r="H142" t="s">
        <v>424</v>
      </c>
    </row>
    <row r="143" spans="8:8" x14ac:dyDescent="0.25">
      <c r="H143" t="s">
        <v>425</v>
      </c>
    </row>
    <row r="144" spans="8:8" x14ac:dyDescent="0.25">
      <c r="H144" t="s">
        <v>426</v>
      </c>
    </row>
    <row r="145" spans="8:8" x14ac:dyDescent="0.25">
      <c r="H145" t="s">
        <v>427</v>
      </c>
    </row>
    <row r="146" spans="8:8" x14ac:dyDescent="0.25">
      <c r="H146" t="s">
        <v>663</v>
      </c>
    </row>
    <row r="147" spans="8:8" x14ac:dyDescent="0.25">
      <c r="H147" t="s">
        <v>428</v>
      </c>
    </row>
    <row r="148" spans="8:8" x14ac:dyDescent="0.25">
      <c r="H148" t="s">
        <v>429</v>
      </c>
    </row>
    <row r="150" spans="8:8" x14ac:dyDescent="0.25">
      <c r="H150" t="s">
        <v>163</v>
      </c>
    </row>
    <row r="151" spans="8:8" x14ac:dyDescent="0.25">
      <c r="H151" t="s">
        <v>430</v>
      </c>
    </row>
    <row r="152" spans="8:8" x14ac:dyDescent="0.25">
      <c r="H152" t="s">
        <v>431</v>
      </c>
    </row>
    <row r="153" spans="8:8" x14ac:dyDescent="0.25">
      <c r="H153" t="s">
        <v>432</v>
      </c>
    </row>
    <row r="154" spans="8:8" x14ac:dyDescent="0.25">
      <c r="H154" t="s">
        <v>433</v>
      </c>
    </row>
    <row r="155" spans="8:8" x14ac:dyDescent="0.25">
      <c r="H155" t="s">
        <v>954</v>
      </c>
    </row>
    <row r="156" spans="8:8" x14ac:dyDescent="0.25">
      <c r="H156" t="s">
        <v>434</v>
      </c>
    </row>
    <row r="157" spans="8:8" x14ac:dyDescent="0.25">
      <c r="H157" t="s">
        <v>435</v>
      </c>
    </row>
    <row r="158" spans="8:8" x14ac:dyDescent="0.25">
      <c r="H158" t="s">
        <v>436</v>
      </c>
    </row>
    <row r="159" spans="8:8" x14ac:dyDescent="0.25">
      <c r="H159" s="13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6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165</v>
      </c>
      <c r="H3" t="s">
        <v>87</v>
      </c>
      <c r="I3" s="12"/>
    </row>
    <row r="4" spans="2:9" x14ac:dyDescent="0.25">
      <c r="H4" t="s">
        <v>166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535</v>
      </c>
    </row>
    <row r="7" spans="2:9" x14ac:dyDescent="0.25">
      <c r="H7" t="s">
        <v>143</v>
      </c>
    </row>
    <row r="8" spans="2:9" x14ac:dyDescent="0.25">
      <c r="B8" s="1" t="s">
        <v>20</v>
      </c>
      <c r="H8" t="s">
        <v>437</v>
      </c>
    </row>
    <row r="9" spans="2:9" x14ac:dyDescent="0.25">
      <c r="B9" t="s">
        <v>536</v>
      </c>
      <c r="H9" t="s">
        <v>538</v>
      </c>
    </row>
    <row r="10" spans="2:9" x14ac:dyDescent="0.25">
      <c r="H10" t="s">
        <v>574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</row>
    <row r="13" spans="2:9" x14ac:dyDescent="0.25">
      <c r="H13" t="s">
        <v>31</v>
      </c>
    </row>
    <row r="14" spans="2:9" x14ac:dyDescent="0.25">
      <c r="B14" s="1" t="s">
        <v>14</v>
      </c>
      <c r="H14" t="s">
        <v>438</v>
      </c>
    </row>
    <row r="15" spans="2:9" x14ac:dyDescent="0.25">
      <c r="B15" t="s">
        <v>16</v>
      </c>
      <c r="H15" t="s">
        <v>538</v>
      </c>
    </row>
    <row r="16" spans="2:9" x14ac:dyDescent="0.25">
      <c r="H16" t="s">
        <v>575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573</v>
      </c>
    </row>
    <row r="19" spans="2:8" x14ac:dyDescent="0.25">
      <c r="H19" t="s">
        <v>33</v>
      </c>
    </row>
    <row r="20" spans="2:8" x14ac:dyDescent="0.25">
      <c r="B20" s="1" t="s">
        <v>22</v>
      </c>
      <c r="H20" t="s">
        <v>439</v>
      </c>
    </row>
    <row r="21" spans="2:8" x14ac:dyDescent="0.25">
      <c r="B21" t="s">
        <v>572</v>
      </c>
      <c r="H21" t="s">
        <v>538</v>
      </c>
    </row>
    <row r="22" spans="2:8" x14ac:dyDescent="0.25">
      <c r="H22" t="s">
        <v>576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664</v>
      </c>
    </row>
    <row r="27" spans="2:8" x14ac:dyDescent="0.25">
      <c r="H27" t="s">
        <v>538</v>
      </c>
    </row>
    <row r="28" spans="2:8" x14ac:dyDescent="0.25">
      <c r="H28" t="s">
        <v>665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666</v>
      </c>
    </row>
    <row r="33" spans="8:8" x14ac:dyDescent="0.25">
      <c r="H33" t="s">
        <v>538</v>
      </c>
    </row>
    <row r="34" spans="8:8" x14ac:dyDescent="0.25">
      <c r="H34" t="s">
        <v>667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440</v>
      </c>
    </row>
    <row r="39" spans="8:8" x14ac:dyDescent="0.25">
      <c r="H39" t="s">
        <v>538</v>
      </c>
    </row>
    <row r="40" spans="8:8" x14ac:dyDescent="0.25">
      <c r="H40" t="s">
        <v>577</v>
      </c>
    </row>
    <row r="41" spans="8:8" x14ac:dyDescent="0.25">
      <c r="H41" t="s">
        <v>32</v>
      </c>
    </row>
    <row r="43" spans="8:8" x14ac:dyDescent="0.25">
      <c r="H43" t="s">
        <v>37</v>
      </c>
    </row>
    <row r="44" spans="8:8" x14ac:dyDescent="0.25">
      <c r="H44" t="s">
        <v>441</v>
      </c>
    </row>
    <row r="45" spans="8:8" x14ac:dyDescent="0.25">
      <c r="H45" t="s">
        <v>538</v>
      </c>
    </row>
    <row r="46" spans="8:8" x14ac:dyDescent="0.25">
      <c r="H46" t="s">
        <v>578</v>
      </c>
    </row>
    <row r="47" spans="8:8" x14ac:dyDescent="0.25">
      <c r="H47" t="s">
        <v>32</v>
      </c>
    </row>
    <row r="49" spans="8:8" x14ac:dyDescent="0.25">
      <c r="H49" t="s">
        <v>38</v>
      </c>
    </row>
    <row r="50" spans="8:8" x14ac:dyDescent="0.25">
      <c r="H50" t="s">
        <v>442</v>
      </c>
    </row>
    <row r="51" spans="8:8" x14ac:dyDescent="0.25">
      <c r="H51" t="s">
        <v>538</v>
      </c>
    </row>
    <row r="52" spans="8:8" x14ac:dyDescent="0.25">
      <c r="H52" t="s">
        <v>579</v>
      </c>
    </row>
    <row r="53" spans="8:8" x14ac:dyDescent="0.25">
      <c r="H53" t="s">
        <v>32</v>
      </c>
    </row>
    <row r="55" spans="8:8" x14ac:dyDescent="0.25">
      <c r="H55" t="s">
        <v>39</v>
      </c>
    </row>
    <row r="56" spans="8:8" x14ac:dyDescent="0.25">
      <c r="H56" t="s">
        <v>668</v>
      </c>
    </row>
    <row r="57" spans="8:8" x14ac:dyDescent="0.25">
      <c r="H57" t="s">
        <v>538</v>
      </c>
    </row>
    <row r="58" spans="8:8" x14ac:dyDescent="0.25">
      <c r="H58" t="s">
        <v>669</v>
      </c>
    </row>
    <row r="59" spans="8:8" x14ac:dyDescent="0.25">
      <c r="H59" t="s">
        <v>32</v>
      </c>
    </row>
    <row r="61" spans="8:8" x14ac:dyDescent="0.25">
      <c r="H61" t="s">
        <v>40</v>
      </c>
    </row>
    <row r="62" spans="8:8" x14ac:dyDescent="0.25">
      <c r="H62" t="s">
        <v>670</v>
      </c>
    </row>
    <row r="63" spans="8:8" x14ac:dyDescent="0.25">
      <c r="H63" t="s">
        <v>538</v>
      </c>
    </row>
    <row r="64" spans="8:8" x14ac:dyDescent="0.25">
      <c r="H64" t="s">
        <v>671</v>
      </c>
    </row>
    <row r="65" spans="8:8" x14ac:dyDescent="0.25">
      <c r="H65" t="s">
        <v>32</v>
      </c>
    </row>
    <row r="67" spans="8:8" x14ac:dyDescent="0.25">
      <c r="H67" t="s">
        <v>41</v>
      </c>
    </row>
    <row r="68" spans="8:8" x14ac:dyDescent="0.25">
      <c r="H68" t="s">
        <v>443</v>
      </c>
    </row>
    <row r="69" spans="8:8" x14ac:dyDescent="0.25">
      <c r="H69" t="s">
        <v>538</v>
      </c>
    </row>
    <row r="70" spans="8:8" x14ac:dyDescent="0.25">
      <c r="H70" t="s">
        <v>580</v>
      </c>
    </row>
    <row r="71" spans="8:8" x14ac:dyDescent="0.25">
      <c r="H71" t="s">
        <v>32</v>
      </c>
    </row>
    <row r="73" spans="8:8" x14ac:dyDescent="0.25">
      <c r="H73" t="s">
        <v>42</v>
      </c>
    </row>
    <row r="74" spans="8:8" x14ac:dyDescent="0.25">
      <c r="H74" t="s">
        <v>444</v>
      </c>
    </row>
    <row r="75" spans="8:8" x14ac:dyDescent="0.25">
      <c r="H75" t="s">
        <v>538</v>
      </c>
    </row>
    <row r="76" spans="8:8" x14ac:dyDescent="0.25">
      <c r="H76" t="s">
        <v>581</v>
      </c>
    </row>
    <row r="77" spans="8:8" x14ac:dyDescent="0.25">
      <c r="H77" t="s">
        <v>32</v>
      </c>
    </row>
    <row r="79" spans="8:8" x14ac:dyDescent="0.25">
      <c r="H79" t="s">
        <v>43</v>
      </c>
    </row>
    <row r="80" spans="8:8" x14ac:dyDescent="0.25">
      <c r="H80" t="s">
        <v>445</v>
      </c>
    </row>
    <row r="81" spans="8:8" x14ac:dyDescent="0.25">
      <c r="H81" t="s">
        <v>538</v>
      </c>
    </row>
    <row r="82" spans="8:8" x14ac:dyDescent="0.25">
      <c r="H82" t="s">
        <v>582</v>
      </c>
    </row>
    <row r="83" spans="8:8" x14ac:dyDescent="0.25">
      <c r="H83" t="s">
        <v>32</v>
      </c>
    </row>
    <row r="85" spans="8:8" x14ac:dyDescent="0.25">
      <c r="H85" t="s">
        <v>44</v>
      </c>
    </row>
    <row r="86" spans="8:8" x14ac:dyDescent="0.25">
      <c r="H86" t="s">
        <v>672</v>
      </c>
    </row>
    <row r="87" spans="8:8" x14ac:dyDescent="0.25">
      <c r="H87" t="s">
        <v>538</v>
      </c>
    </row>
    <row r="88" spans="8:8" x14ac:dyDescent="0.25">
      <c r="H88" t="s">
        <v>673</v>
      </c>
    </row>
    <row r="89" spans="8:8" x14ac:dyDescent="0.25">
      <c r="H89" t="s">
        <v>32</v>
      </c>
    </row>
    <row r="91" spans="8:8" x14ac:dyDescent="0.25">
      <c r="H91" t="s">
        <v>45</v>
      </c>
    </row>
    <row r="92" spans="8:8" x14ac:dyDescent="0.25">
      <c r="H92" t="s">
        <v>674</v>
      </c>
    </row>
    <row r="93" spans="8:8" x14ac:dyDescent="0.25">
      <c r="H93" t="s">
        <v>538</v>
      </c>
    </row>
    <row r="94" spans="8:8" x14ac:dyDescent="0.25">
      <c r="H94" t="s">
        <v>675</v>
      </c>
    </row>
    <row r="95" spans="8:8" x14ac:dyDescent="0.25">
      <c r="H95" t="s">
        <v>32</v>
      </c>
    </row>
    <row r="97" spans="8:8" x14ac:dyDescent="0.25">
      <c r="H97" t="s">
        <v>46</v>
      </c>
    </row>
    <row r="98" spans="8:8" x14ac:dyDescent="0.25">
      <c r="H98" t="s">
        <v>446</v>
      </c>
    </row>
    <row r="99" spans="8:8" x14ac:dyDescent="0.25">
      <c r="H99" t="s">
        <v>538</v>
      </c>
    </row>
    <row r="100" spans="8:8" x14ac:dyDescent="0.25">
      <c r="H100" t="s">
        <v>583</v>
      </c>
    </row>
    <row r="101" spans="8:8" x14ac:dyDescent="0.25">
      <c r="H101" t="s">
        <v>32</v>
      </c>
    </row>
    <row r="103" spans="8:8" x14ac:dyDescent="0.25">
      <c r="H103" t="s">
        <v>47</v>
      </c>
    </row>
    <row r="104" spans="8:8" x14ac:dyDescent="0.25">
      <c r="H104" t="s">
        <v>676</v>
      </c>
    </row>
    <row r="105" spans="8:8" x14ac:dyDescent="0.25">
      <c r="H105" t="s">
        <v>538</v>
      </c>
    </row>
    <row r="106" spans="8:8" x14ac:dyDescent="0.25">
      <c r="H106" t="s">
        <v>677</v>
      </c>
    </row>
    <row r="107" spans="8:8" x14ac:dyDescent="0.25">
      <c r="H107" t="s">
        <v>32</v>
      </c>
    </row>
    <row r="109" spans="8:8" x14ac:dyDescent="0.25">
      <c r="H109" t="s">
        <v>48</v>
      </c>
    </row>
    <row r="110" spans="8:8" x14ac:dyDescent="0.25">
      <c r="H110" t="s">
        <v>678</v>
      </c>
    </row>
    <row r="111" spans="8:8" x14ac:dyDescent="0.25">
      <c r="H111" t="s">
        <v>538</v>
      </c>
    </row>
    <row r="112" spans="8:8" x14ac:dyDescent="0.25">
      <c r="H112" t="s">
        <v>679</v>
      </c>
    </row>
    <row r="113" spans="8:8" x14ac:dyDescent="0.25">
      <c r="H113" t="s">
        <v>32</v>
      </c>
    </row>
    <row r="115" spans="8:8" x14ac:dyDescent="0.25">
      <c r="H115" t="s">
        <v>49</v>
      </c>
    </row>
    <row r="116" spans="8:8" x14ac:dyDescent="0.25">
      <c r="H116" t="s">
        <v>680</v>
      </c>
    </row>
    <row r="117" spans="8:8" x14ac:dyDescent="0.25">
      <c r="H117" t="s">
        <v>538</v>
      </c>
    </row>
    <row r="118" spans="8:8" x14ac:dyDescent="0.25">
      <c r="H118" t="s">
        <v>681</v>
      </c>
    </row>
    <row r="119" spans="8:8" x14ac:dyDescent="0.25">
      <c r="H119" t="s">
        <v>32</v>
      </c>
    </row>
    <row r="121" spans="8:8" x14ac:dyDescent="0.25">
      <c r="H121" t="s">
        <v>50</v>
      </c>
    </row>
    <row r="122" spans="8:8" x14ac:dyDescent="0.25">
      <c r="H122" t="s">
        <v>959</v>
      </c>
    </row>
    <row r="123" spans="8:8" x14ac:dyDescent="0.25">
      <c r="H123" t="s">
        <v>538</v>
      </c>
    </row>
    <row r="124" spans="8:8" x14ac:dyDescent="0.25">
      <c r="H124" t="s">
        <v>960</v>
      </c>
    </row>
    <row r="125" spans="8:8" x14ac:dyDescent="0.25">
      <c r="H125" t="s">
        <v>32</v>
      </c>
    </row>
    <row r="127" spans="8:8" x14ac:dyDescent="0.25">
      <c r="H127" t="s">
        <v>51</v>
      </c>
    </row>
    <row r="128" spans="8:8" x14ac:dyDescent="0.25">
      <c r="H128" t="s">
        <v>447</v>
      </c>
    </row>
    <row r="129" spans="8:8" x14ac:dyDescent="0.25">
      <c r="H129" t="s">
        <v>538</v>
      </c>
    </row>
    <row r="130" spans="8:8" x14ac:dyDescent="0.25">
      <c r="H130" t="s">
        <v>885</v>
      </c>
    </row>
    <row r="131" spans="8:8" x14ac:dyDescent="0.25">
      <c r="H131" t="s">
        <v>32</v>
      </c>
    </row>
    <row r="132" spans="8:8" x14ac:dyDescent="0.25">
      <c r="H132" t="s">
        <v>546</v>
      </c>
    </row>
    <row r="133" spans="8:8" x14ac:dyDescent="0.25">
      <c r="H133" t="s">
        <v>886</v>
      </c>
    </row>
    <row r="134" spans="8:8" x14ac:dyDescent="0.25">
      <c r="H134" t="s">
        <v>32</v>
      </c>
    </row>
    <row r="135" spans="8:8" x14ac:dyDescent="0.25">
      <c r="H135" t="s">
        <v>448</v>
      </c>
    </row>
    <row r="136" spans="8:8" x14ac:dyDescent="0.25">
      <c r="H136" t="s">
        <v>547</v>
      </c>
    </row>
    <row r="137" spans="8:8" x14ac:dyDescent="0.25">
      <c r="H137" t="s">
        <v>992</v>
      </c>
    </row>
    <row r="138" spans="8:8" x14ac:dyDescent="0.25">
      <c r="H138" t="s">
        <v>32</v>
      </c>
    </row>
    <row r="139" spans="8:8" x14ac:dyDescent="0.25">
      <c r="H139" t="s">
        <v>449</v>
      </c>
    </row>
    <row r="140" spans="8:8" x14ac:dyDescent="0.25">
      <c r="H140" t="s">
        <v>548</v>
      </c>
    </row>
    <row r="141" spans="8:8" x14ac:dyDescent="0.25">
      <c r="H141" t="s">
        <v>993</v>
      </c>
    </row>
    <row r="142" spans="8:8" x14ac:dyDescent="0.25">
      <c r="H142" t="s">
        <v>32</v>
      </c>
    </row>
    <row r="144" spans="8:8" x14ac:dyDescent="0.25">
      <c r="H144" t="s">
        <v>52</v>
      </c>
    </row>
    <row r="145" spans="8:8" x14ac:dyDescent="0.25">
      <c r="H145" t="s">
        <v>450</v>
      </c>
    </row>
    <row r="146" spans="8:8" x14ac:dyDescent="0.25">
      <c r="H146" t="s">
        <v>538</v>
      </c>
    </row>
    <row r="147" spans="8:8" x14ac:dyDescent="0.25">
      <c r="H147" t="s">
        <v>887</v>
      </c>
    </row>
    <row r="148" spans="8:8" x14ac:dyDescent="0.25">
      <c r="H148" t="s">
        <v>32</v>
      </c>
    </row>
    <row r="149" spans="8:8" x14ac:dyDescent="0.25">
      <c r="H149" t="s">
        <v>888</v>
      </c>
    </row>
    <row r="150" spans="8:8" x14ac:dyDescent="0.25">
      <c r="H150" t="s">
        <v>547</v>
      </c>
    </row>
    <row r="151" spans="8:8" x14ac:dyDescent="0.25">
      <c r="H151" t="s">
        <v>1020</v>
      </c>
    </row>
    <row r="152" spans="8:8" x14ac:dyDescent="0.25">
      <c r="H152" t="s">
        <v>32</v>
      </c>
    </row>
    <row r="153" spans="8:8" x14ac:dyDescent="0.25">
      <c r="H153" t="s">
        <v>548</v>
      </c>
    </row>
    <row r="154" spans="8:8" x14ac:dyDescent="0.25">
      <c r="H154" t="s">
        <v>1021</v>
      </c>
    </row>
    <row r="155" spans="8:8" x14ac:dyDescent="0.25">
      <c r="H155" t="s">
        <v>32</v>
      </c>
    </row>
    <row r="157" spans="8:8" x14ac:dyDescent="0.25">
      <c r="H157" t="s">
        <v>53</v>
      </c>
    </row>
    <row r="158" spans="8:8" x14ac:dyDescent="0.25">
      <c r="H158" t="s">
        <v>889</v>
      </c>
    </row>
    <row r="159" spans="8:8" x14ac:dyDescent="0.25">
      <c r="H159" t="s">
        <v>538</v>
      </c>
    </row>
    <row r="160" spans="8:8" x14ac:dyDescent="0.25">
      <c r="H160" t="s">
        <v>980</v>
      </c>
    </row>
    <row r="161" spans="8:8" x14ac:dyDescent="0.25">
      <c r="H161" t="s">
        <v>32</v>
      </c>
    </row>
    <row r="162" spans="8:8" x14ac:dyDescent="0.25">
      <c r="H162" t="s">
        <v>546</v>
      </c>
    </row>
    <row r="163" spans="8:8" x14ac:dyDescent="0.25">
      <c r="H163" t="s">
        <v>981</v>
      </c>
    </row>
    <row r="164" spans="8:8" x14ac:dyDescent="0.25">
      <c r="H164" t="s">
        <v>32</v>
      </c>
    </row>
    <row r="165" spans="8:8" x14ac:dyDescent="0.25">
      <c r="H165" t="s">
        <v>451</v>
      </c>
    </row>
    <row r="166" spans="8:8" x14ac:dyDescent="0.25">
      <c r="H166" t="s">
        <v>547</v>
      </c>
    </row>
    <row r="167" spans="8:8" x14ac:dyDescent="0.25">
      <c r="H167" t="s">
        <v>994</v>
      </c>
    </row>
    <row r="168" spans="8:8" x14ac:dyDescent="0.25">
      <c r="H168" t="s">
        <v>32</v>
      </c>
    </row>
    <row r="169" spans="8:8" x14ac:dyDescent="0.25">
      <c r="H169" t="s">
        <v>548</v>
      </c>
    </row>
    <row r="170" spans="8:8" x14ac:dyDescent="0.25">
      <c r="H170" t="s">
        <v>995</v>
      </c>
    </row>
    <row r="171" spans="8:8" x14ac:dyDescent="0.25">
      <c r="H171" t="s">
        <v>32</v>
      </c>
    </row>
    <row r="173" spans="8:8" x14ac:dyDescent="0.25">
      <c r="H173" t="s">
        <v>54</v>
      </c>
    </row>
    <row r="174" spans="8:8" x14ac:dyDescent="0.25">
      <c r="H174" t="s">
        <v>452</v>
      </c>
    </row>
    <row r="175" spans="8:8" x14ac:dyDescent="0.25">
      <c r="H175" t="s">
        <v>538</v>
      </c>
    </row>
    <row r="176" spans="8:8" x14ac:dyDescent="0.25">
      <c r="H176" t="s">
        <v>890</v>
      </c>
    </row>
    <row r="177" spans="8:8" x14ac:dyDescent="0.25">
      <c r="H177" t="s">
        <v>32</v>
      </c>
    </row>
    <row r="179" spans="8:8" x14ac:dyDescent="0.25">
      <c r="H179" t="s">
        <v>55</v>
      </c>
    </row>
    <row r="180" spans="8:8" x14ac:dyDescent="0.25">
      <c r="H180" t="s">
        <v>682</v>
      </c>
    </row>
    <row r="181" spans="8:8" x14ac:dyDescent="0.25">
      <c r="H181" t="s">
        <v>538</v>
      </c>
    </row>
    <row r="182" spans="8:8" x14ac:dyDescent="0.25">
      <c r="H182" t="s">
        <v>891</v>
      </c>
    </row>
    <row r="183" spans="8:8" x14ac:dyDescent="0.25">
      <c r="H183" t="s">
        <v>32</v>
      </c>
    </row>
    <row r="185" spans="8:8" x14ac:dyDescent="0.25">
      <c r="H185" t="s">
        <v>56</v>
      </c>
    </row>
    <row r="186" spans="8:8" x14ac:dyDescent="0.25">
      <c r="H186" t="s">
        <v>453</v>
      </c>
    </row>
    <row r="187" spans="8:8" x14ac:dyDescent="0.25">
      <c r="H187" t="s">
        <v>538</v>
      </c>
    </row>
    <row r="188" spans="8:8" x14ac:dyDescent="0.25">
      <c r="H188" t="s">
        <v>892</v>
      </c>
    </row>
    <row r="189" spans="8:8" x14ac:dyDescent="0.25">
      <c r="H189" t="s">
        <v>32</v>
      </c>
    </row>
    <row r="191" spans="8:8" x14ac:dyDescent="0.25">
      <c r="H191" t="s">
        <v>57</v>
      </c>
    </row>
    <row r="192" spans="8:8" x14ac:dyDescent="0.25">
      <c r="H192" t="s">
        <v>454</v>
      </c>
    </row>
    <row r="193" spans="8:8" x14ac:dyDescent="0.25">
      <c r="H193" t="s">
        <v>538</v>
      </c>
    </row>
    <row r="194" spans="8:8" x14ac:dyDescent="0.25">
      <c r="H194" t="s">
        <v>893</v>
      </c>
    </row>
    <row r="195" spans="8:8" x14ac:dyDescent="0.25">
      <c r="H195" t="s">
        <v>32</v>
      </c>
    </row>
    <row r="196" spans="8:8" x14ac:dyDescent="0.25">
      <c r="H196" t="s">
        <v>455</v>
      </c>
    </row>
    <row r="197" spans="8:8" x14ac:dyDescent="0.25">
      <c r="H197" t="s">
        <v>546</v>
      </c>
    </row>
    <row r="198" spans="8:8" x14ac:dyDescent="0.25">
      <c r="H198" t="s">
        <v>996</v>
      </c>
    </row>
    <row r="199" spans="8:8" x14ac:dyDescent="0.25">
      <c r="H199" t="s">
        <v>32</v>
      </c>
    </row>
    <row r="200" spans="8:8" x14ac:dyDescent="0.25">
      <c r="H200" t="s">
        <v>456</v>
      </c>
    </row>
    <row r="201" spans="8:8" x14ac:dyDescent="0.25">
      <c r="H201" t="s">
        <v>547</v>
      </c>
    </row>
    <row r="202" spans="8:8" x14ac:dyDescent="0.25">
      <c r="H202" t="s">
        <v>997</v>
      </c>
    </row>
    <row r="203" spans="8:8" x14ac:dyDescent="0.25">
      <c r="H203" t="s">
        <v>32</v>
      </c>
    </row>
    <row r="205" spans="8:8" x14ac:dyDescent="0.25">
      <c r="H205" t="s">
        <v>58</v>
      </c>
    </row>
    <row r="206" spans="8:8" x14ac:dyDescent="0.25">
      <c r="H206" t="s">
        <v>894</v>
      </c>
    </row>
    <row r="207" spans="8:8" x14ac:dyDescent="0.25">
      <c r="H207" t="s">
        <v>538</v>
      </c>
    </row>
    <row r="208" spans="8:8" x14ac:dyDescent="0.25">
      <c r="H208" t="s">
        <v>895</v>
      </c>
    </row>
    <row r="209" spans="8:8" x14ac:dyDescent="0.25">
      <c r="H209" t="s">
        <v>32</v>
      </c>
    </row>
    <row r="210" spans="8:8" x14ac:dyDescent="0.25">
      <c r="H210" t="s">
        <v>546</v>
      </c>
    </row>
    <row r="211" spans="8:8" x14ac:dyDescent="0.25">
      <c r="H211" t="s">
        <v>896</v>
      </c>
    </row>
    <row r="212" spans="8:8" x14ac:dyDescent="0.25">
      <c r="H212" t="s">
        <v>32</v>
      </c>
    </row>
    <row r="213" spans="8:8" x14ac:dyDescent="0.25">
      <c r="H213" t="s">
        <v>897</v>
      </c>
    </row>
    <row r="214" spans="8:8" x14ac:dyDescent="0.25">
      <c r="H214" t="s">
        <v>547</v>
      </c>
    </row>
    <row r="215" spans="8:8" x14ac:dyDescent="0.25">
      <c r="H215" t="s">
        <v>998</v>
      </c>
    </row>
    <row r="216" spans="8:8" x14ac:dyDescent="0.25">
      <c r="H216" t="s">
        <v>32</v>
      </c>
    </row>
    <row r="217" spans="8:8" x14ac:dyDescent="0.25">
      <c r="H217" t="s">
        <v>548</v>
      </c>
    </row>
    <row r="218" spans="8:8" x14ac:dyDescent="0.25">
      <c r="H218" t="s">
        <v>999</v>
      </c>
    </row>
    <row r="219" spans="8:8" x14ac:dyDescent="0.25">
      <c r="H219" t="s">
        <v>32</v>
      </c>
    </row>
    <row r="221" spans="8:8" x14ac:dyDescent="0.25">
      <c r="H221" t="s">
        <v>59</v>
      </c>
    </row>
    <row r="222" spans="8:8" x14ac:dyDescent="0.25">
      <c r="H222" t="s">
        <v>457</v>
      </c>
    </row>
    <row r="223" spans="8:8" x14ac:dyDescent="0.25">
      <c r="H223" t="s">
        <v>538</v>
      </c>
    </row>
    <row r="224" spans="8:8" x14ac:dyDescent="0.25">
      <c r="H224" t="s">
        <v>898</v>
      </c>
    </row>
    <row r="225" spans="8:8" x14ac:dyDescent="0.25">
      <c r="H225" t="s">
        <v>32</v>
      </c>
    </row>
    <row r="226" spans="8:8" x14ac:dyDescent="0.25">
      <c r="H226" t="s">
        <v>546</v>
      </c>
    </row>
    <row r="227" spans="8:8" x14ac:dyDescent="0.25">
      <c r="H227" t="s">
        <v>899</v>
      </c>
    </row>
    <row r="228" spans="8:8" x14ac:dyDescent="0.25">
      <c r="H228" t="s">
        <v>32</v>
      </c>
    </row>
    <row r="230" spans="8:8" x14ac:dyDescent="0.25">
      <c r="H230" t="s">
        <v>60</v>
      </c>
    </row>
    <row r="231" spans="8:8" x14ac:dyDescent="0.25">
      <c r="H231" t="s">
        <v>458</v>
      </c>
    </row>
    <row r="232" spans="8:8" x14ac:dyDescent="0.25">
      <c r="H232" t="s">
        <v>538</v>
      </c>
    </row>
    <row r="233" spans="8:8" x14ac:dyDescent="0.25">
      <c r="H233" t="s">
        <v>900</v>
      </c>
    </row>
    <row r="234" spans="8:8" x14ac:dyDescent="0.25">
      <c r="H234" t="s">
        <v>32</v>
      </c>
    </row>
    <row r="235" spans="8:8" x14ac:dyDescent="0.25">
      <c r="H235" t="s">
        <v>546</v>
      </c>
    </row>
    <row r="236" spans="8:8" x14ac:dyDescent="0.25">
      <c r="H236" t="s">
        <v>901</v>
      </c>
    </row>
    <row r="237" spans="8:8" x14ac:dyDescent="0.25">
      <c r="H237" t="s">
        <v>32</v>
      </c>
    </row>
    <row r="238" spans="8:8" x14ac:dyDescent="0.25">
      <c r="H238" t="s">
        <v>547</v>
      </c>
    </row>
    <row r="239" spans="8:8" x14ac:dyDescent="0.25">
      <c r="H239" t="s">
        <v>902</v>
      </c>
    </row>
    <row r="240" spans="8:8" x14ac:dyDescent="0.25">
      <c r="H240" t="s">
        <v>32</v>
      </c>
    </row>
    <row r="241" spans="8:8" x14ac:dyDescent="0.25">
      <c r="H241" t="s">
        <v>548</v>
      </c>
    </row>
    <row r="242" spans="8:8" x14ac:dyDescent="0.25">
      <c r="H242" t="s">
        <v>903</v>
      </c>
    </row>
    <row r="243" spans="8:8" x14ac:dyDescent="0.25">
      <c r="H243" t="s">
        <v>32</v>
      </c>
    </row>
    <row r="245" spans="8:8" x14ac:dyDescent="0.25">
      <c r="H245" t="s">
        <v>61</v>
      </c>
    </row>
    <row r="246" spans="8:8" x14ac:dyDescent="0.25">
      <c r="H246" t="s">
        <v>459</v>
      </c>
    </row>
    <row r="247" spans="8:8" x14ac:dyDescent="0.25">
      <c r="H247" t="s">
        <v>538</v>
      </c>
    </row>
    <row r="248" spans="8:8" x14ac:dyDescent="0.25">
      <c r="H248" t="s">
        <v>904</v>
      </c>
    </row>
    <row r="249" spans="8:8" x14ac:dyDescent="0.25">
      <c r="H249" t="s">
        <v>32</v>
      </c>
    </row>
    <row r="251" spans="8:8" x14ac:dyDescent="0.25">
      <c r="H251" t="s">
        <v>62</v>
      </c>
    </row>
    <row r="252" spans="8:8" x14ac:dyDescent="0.25">
      <c r="H252" t="s">
        <v>460</v>
      </c>
    </row>
    <row r="253" spans="8:8" x14ac:dyDescent="0.25">
      <c r="H253" t="s">
        <v>538</v>
      </c>
    </row>
    <row r="254" spans="8:8" x14ac:dyDescent="0.25">
      <c r="H254" t="s">
        <v>905</v>
      </c>
    </row>
    <row r="255" spans="8:8" x14ac:dyDescent="0.25">
      <c r="H255" t="s">
        <v>32</v>
      </c>
    </row>
    <row r="257" spans="8:8" x14ac:dyDescent="0.25">
      <c r="H257" t="s">
        <v>63</v>
      </c>
    </row>
    <row r="258" spans="8:8" x14ac:dyDescent="0.25">
      <c r="H258" t="s">
        <v>794</v>
      </c>
    </row>
    <row r="259" spans="8:8" x14ac:dyDescent="0.25">
      <c r="H259" t="s">
        <v>538</v>
      </c>
    </row>
    <row r="260" spans="8:8" x14ac:dyDescent="0.25">
      <c r="H260" t="s">
        <v>906</v>
      </c>
    </row>
    <row r="261" spans="8:8" x14ac:dyDescent="0.25">
      <c r="H261" t="s">
        <v>32</v>
      </c>
    </row>
    <row r="263" spans="8:8" x14ac:dyDescent="0.25">
      <c r="H263" t="s">
        <v>64</v>
      </c>
    </row>
    <row r="264" spans="8:8" x14ac:dyDescent="0.25">
      <c r="H264" t="s">
        <v>461</v>
      </c>
    </row>
    <row r="265" spans="8:8" x14ac:dyDescent="0.25">
      <c r="H265" t="s">
        <v>538</v>
      </c>
    </row>
    <row r="266" spans="8:8" x14ac:dyDescent="0.25">
      <c r="H266" t="s">
        <v>584</v>
      </c>
    </row>
    <row r="267" spans="8:8" x14ac:dyDescent="0.25">
      <c r="H267" t="s">
        <v>32</v>
      </c>
    </row>
    <row r="269" spans="8:8" x14ac:dyDescent="0.25">
      <c r="H269" t="s">
        <v>65</v>
      </c>
    </row>
    <row r="270" spans="8:8" x14ac:dyDescent="0.25">
      <c r="H270" t="s">
        <v>795</v>
      </c>
    </row>
    <row r="271" spans="8:8" x14ac:dyDescent="0.25">
      <c r="H271" t="s">
        <v>538</v>
      </c>
    </row>
    <row r="272" spans="8:8" x14ac:dyDescent="0.25">
      <c r="H272" t="s">
        <v>796</v>
      </c>
    </row>
    <row r="273" spans="8:8" x14ac:dyDescent="0.25">
      <c r="H273" t="s">
        <v>32</v>
      </c>
    </row>
    <row r="275" spans="8:8" x14ac:dyDescent="0.25">
      <c r="H275" t="s">
        <v>66</v>
      </c>
    </row>
    <row r="276" spans="8:8" x14ac:dyDescent="0.25">
      <c r="H276" t="s">
        <v>462</v>
      </c>
    </row>
    <row r="277" spans="8:8" x14ac:dyDescent="0.25">
      <c r="H277" t="s">
        <v>538</v>
      </c>
    </row>
    <row r="278" spans="8:8" x14ac:dyDescent="0.25">
      <c r="H278" t="s">
        <v>585</v>
      </c>
    </row>
    <row r="279" spans="8:8" x14ac:dyDescent="0.25">
      <c r="H279" t="s">
        <v>32</v>
      </c>
    </row>
    <row r="280" spans="8:8" x14ac:dyDescent="0.25">
      <c r="H280" t="s">
        <v>546</v>
      </c>
    </row>
    <row r="281" spans="8:8" x14ac:dyDescent="0.25">
      <c r="H281" t="s">
        <v>809</v>
      </c>
    </row>
    <row r="282" spans="8:8" x14ac:dyDescent="0.25">
      <c r="H282" t="s">
        <v>32</v>
      </c>
    </row>
    <row r="284" spans="8:8" x14ac:dyDescent="0.25">
      <c r="H284" t="s">
        <v>67</v>
      </c>
    </row>
    <row r="285" spans="8:8" x14ac:dyDescent="0.25">
      <c r="H285" t="s">
        <v>463</v>
      </c>
    </row>
    <row r="286" spans="8:8" x14ac:dyDescent="0.25">
      <c r="H286" t="s">
        <v>538</v>
      </c>
    </row>
    <row r="287" spans="8:8" x14ac:dyDescent="0.25">
      <c r="H287" t="s">
        <v>586</v>
      </c>
    </row>
    <row r="288" spans="8:8" x14ac:dyDescent="0.25">
      <c r="H288" t="s">
        <v>32</v>
      </c>
    </row>
    <row r="290" spans="8:8" x14ac:dyDescent="0.25">
      <c r="H290" t="s">
        <v>68</v>
      </c>
    </row>
    <row r="291" spans="8:8" x14ac:dyDescent="0.25">
      <c r="H291" t="s">
        <v>464</v>
      </c>
    </row>
    <row r="292" spans="8:8" x14ac:dyDescent="0.25">
      <c r="H292" t="s">
        <v>538</v>
      </c>
    </row>
    <row r="293" spans="8:8" x14ac:dyDescent="0.25">
      <c r="H293" t="s">
        <v>587</v>
      </c>
    </row>
    <row r="294" spans="8:8" x14ac:dyDescent="0.25">
      <c r="H294" t="s">
        <v>32</v>
      </c>
    </row>
    <row r="296" spans="8:8" x14ac:dyDescent="0.25">
      <c r="H296" t="s">
        <v>69</v>
      </c>
    </row>
    <row r="297" spans="8:8" x14ac:dyDescent="0.25">
      <c r="H297" t="s">
        <v>797</v>
      </c>
    </row>
    <row r="298" spans="8:8" x14ac:dyDescent="0.25">
      <c r="H298" t="s">
        <v>538</v>
      </c>
    </row>
    <row r="299" spans="8:8" x14ac:dyDescent="0.25">
      <c r="H299" t="s">
        <v>798</v>
      </c>
    </row>
    <row r="300" spans="8:8" x14ac:dyDescent="0.25">
      <c r="H300" t="s">
        <v>32</v>
      </c>
    </row>
    <row r="302" spans="8:8" x14ac:dyDescent="0.25">
      <c r="H302" t="s">
        <v>70</v>
      </c>
    </row>
    <row r="303" spans="8:8" x14ac:dyDescent="0.25">
      <c r="H303" t="s">
        <v>465</v>
      </c>
    </row>
    <row r="304" spans="8:8" x14ac:dyDescent="0.25">
      <c r="H304" t="s">
        <v>538</v>
      </c>
    </row>
    <row r="305" spans="8:8" x14ac:dyDescent="0.25">
      <c r="H305" t="s">
        <v>588</v>
      </c>
    </row>
    <row r="306" spans="8:8" x14ac:dyDescent="0.25">
      <c r="H306" t="s">
        <v>32</v>
      </c>
    </row>
    <row r="307" spans="8:8" x14ac:dyDescent="0.25">
      <c r="H307" t="s">
        <v>546</v>
      </c>
    </row>
    <row r="308" spans="8:8" x14ac:dyDescent="0.25">
      <c r="H308" t="s">
        <v>810</v>
      </c>
    </row>
    <row r="309" spans="8:8" x14ac:dyDescent="0.25">
      <c r="H309" t="s">
        <v>32</v>
      </c>
    </row>
    <row r="311" spans="8:8" x14ac:dyDescent="0.25">
      <c r="H311" t="s">
        <v>71</v>
      </c>
    </row>
    <row r="312" spans="8:8" x14ac:dyDescent="0.25">
      <c r="H312" t="s">
        <v>466</v>
      </c>
    </row>
    <row r="313" spans="8:8" x14ac:dyDescent="0.25">
      <c r="H313" t="s">
        <v>538</v>
      </c>
    </row>
    <row r="314" spans="8:8" x14ac:dyDescent="0.25">
      <c r="H314" t="s">
        <v>589</v>
      </c>
    </row>
    <row r="315" spans="8:8" x14ac:dyDescent="0.25">
      <c r="H315" t="s">
        <v>32</v>
      </c>
    </row>
    <row r="317" spans="8:8" x14ac:dyDescent="0.25">
      <c r="H317" t="s">
        <v>72</v>
      </c>
    </row>
    <row r="318" spans="8:8" x14ac:dyDescent="0.25">
      <c r="H318" t="s">
        <v>467</v>
      </c>
    </row>
    <row r="319" spans="8:8" x14ac:dyDescent="0.25">
      <c r="H319" t="s">
        <v>538</v>
      </c>
    </row>
    <row r="320" spans="8:8" x14ac:dyDescent="0.25">
      <c r="H320" t="s">
        <v>590</v>
      </c>
    </row>
    <row r="321" spans="8:8" x14ac:dyDescent="0.25">
      <c r="H321" t="s">
        <v>32</v>
      </c>
    </row>
    <row r="323" spans="8:8" x14ac:dyDescent="0.25">
      <c r="H323" t="s">
        <v>73</v>
      </c>
    </row>
    <row r="324" spans="8:8" x14ac:dyDescent="0.25">
      <c r="H324" t="s">
        <v>799</v>
      </c>
    </row>
    <row r="325" spans="8:8" x14ac:dyDescent="0.25">
      <c r="H325" t="s">
        <v>538</v>
      </c>
    </row>
    <row r="326" spans="8:8" x14ac:dyDescent="0.25">
      <c r="H326" t="s">
        <v>800</v>
      </c>
    </row>
    <row r="327" spans="8:8" x14ac:dyDescent="0.25">
      <c r="H327" t="s">
        <v>32</v>
      </c>
    </row>
    <row r="329" spans="8:8" x14ac:dyDescent="0.25">
      <c r="H329" t="s">
        <v>74</v>
      </c>
    </row>
    <row r="330" spans="8:8" x14ac:dyDescent="0.25">
      <c r="H330" t="s">
        <v>468</v>
      </c>
    </row>
    <row r="331" spans="8:8" x14ac:dyDescent="0.25">
      <c r="H331" t="s">
        <v>538</v>
      </c>
    </row>
    <row r="332" spans="8:8" x14ac:dyDescent="0.25">
      <c r="H332" t="s">
        <v>591</v>
      </c>
    </row>
    <row r="333" spans="8:8" x14ac:dyDescent="0.25">
      <c r="H333" t="s">
        <v>32</v>
      </c>
    </row>
    <row r="334" spans="8:8" x14ac:dyDescent="0.25">
      <c r="H334" t="s">
        <v>546</v>
      </c>
    </row>
    <row r="335" spans="8:8" x14ac:dyDescent="0.25">
      <c r="H335" t="s">
        <v>811</v>
      </c>
    </row>
    <row r="336" spans="8:8" x14ac:dyDescent="0.25">
      <c r="H336" t="s">
        <v>32</v>
      </c>
    </row>
    <row r="338" spans="8:8" x14ac:dyDescent="0.25">
      <c r="H338" t="s">
        <v>75</v>
      </c>
    </row>
    <row r="339" spans="8:8" x14ac:dyDescent="0.25">
      <c r="H339" t="s">
        <v>469</v>
      </c>
    </row>
    <row r="340" spans="8:8" x14ac:dyDescent="0.25">
      <c r="H340" t="s">
        <v>538</v>
      </c>
    </row>
    <row r="341" spans="8:8" x14ac:dyDescent="0.25">
      <c r="H341" t="s">
        <v>592</v>
      </c>
    </row>
    <row r="342" spans="8:8" x14ac:dyDescent="0.25">
      <c r="H342" t="s">
        <v>32</v>
      </c>
    </row>
    <row r="344" spans="8:8" x14ac:dyDescent="0.25">
      <c r="H344" t="s">
        <v>76</v>
      </c>
    </row>
    <row r="345" spans="8:8" x14ac:dyDescent="0.25">
      <c r="H345" t="s">
        <v>961</v>
      </c>
    </row>
    <row r="346" spans="8:8" x14ac:dyDescent="0.25">
      <c r="H346" t="s">
        <v>538</v>
      </c>
    </row>
    <row r="347" spans="8:8" x14ac:dyDescent="0.25">
      <c r="H347" t="s">
        <v>593</v>
      </c>
    </row>
    <row r="348" spans="8:8" x14ac:dyDescent="0.25">
      <c r="H348" t="s">
        <v>32</v>
      </c>
    </row>
    <row r="350" spans="8:8" x14ac:dyDescent="0.25">
      <c r="H350" t="s">
        <v>77</v>
      </c>
    </row>
    <row r="351" spans="8:8" x14ac:dyDescent="0.25">
      <c r="H351" t="s">
        <v>471</v>
      </c>
    </row>
    <row r="352" spans="8:8" x14ac:dyDescent="0.25">
      <c r="H352" t="s">
        <v>538</v>
      </c>
    </row>
    <row r="353" spans="8:8" x14ac:dyDescent="0.25">
      <c r="H353" t="s">
        <v>595</v>
      </c>
    </row>
    <row r="354" spans="8:8" x14ac:dyDescent="0.25">
      <c r="H354" t="s">
        <v>32</v>
      </c>
    </row>
    <row r="356" spans="8:8" x14ac:dyDescent="0.25">
      <c r="H356" t="s">
        <v>78</v>
      </c>
    </row>
    <row r="357" spans="8:8" x14ac:dyDescent="0.25">
      <c r="H357" t="s">
        <v>470</v>
      </c>
    </row>
    <row r="358" spans="8:8" x14ac:dyDescent="0.25">
      <c r="H358" t="s">
        <v>538</v>
      </c>
    </row>
    <row r="359" spans="8:8" x14ac:dyDescent="0.25">
      <c r="H359" t="s">
        <v>594</v>
      </c>
    </row>
    <row r="360" spans="8:8" x14ac:dyDescent="0.25">
      <c r="H360" t="s">
        <v>32</v>
      </c>
    </row>
    <row r="361" spans="8:8" x14ac:dyDescent="0.25">
      <c r="H361" t="s">
        <v>546</v>
      </c>
    </row>
    <row r="362" spans="8:8" x14ac:dyDescent="0.25">
      <c r="H362" t="s">
        <v>812</v>
      </c>
    </row>
    <row r="363" spans="8:8" x14ac:dyDescent="0.25">
      <c r="H363" t="s">
        <v>32</v>
      </c>
    </row>
    <row r="365" spans="8:8" x14ac:dyDescent="0.25">
      <c r="H365" t="s">
        <v>79</v>
      </c>
    </row>
    <row r="366" spans="8:8" x14ac:dyDescent="0.25">
      <c r="H366" t="s">
        <v>962</v>
      </c>
    </row>
    <row r="367" spans="8:8" x14ac:dyDescent="0.25">
      <c r="H367" t="s">
        <v>538</v>
      </c>
    </row>
    <row r="368" spans="8:8" x14ac:dyDescent="0.25">
      <c r="H368" t="s">
        <v>963</v>
      </c>
    </row>
    <row r="369" spans="8:8" x14ac:dyDescent="0.25">
      <c r="H369" t="s">
        <v>32</v>
      </c>
    </row>
    <row r="371" spans="8:8" x14ac:dyDescent="0.25">
      <c r="H371" t="s">
        <v>80</v>
      </c>
    </row>
    <row r="372" spans="8:8" x14ac:dyDescent="0.25">
      <c r="H372" t="s">
        <v>472</v>
      </c>
    </row>
    <row r="373" spans="8:8" x14ac:dyDescent="0.25">
      <c r="H373" t="s">
        <v>538</v>
      </c>
    </row>
    <row r="374" spans="8:8" x14ac:dyDescent="0.25">
      <c r="H374" t="s">
        <v>596</v>
      </c>
    </row>
    <row r="375" spans="8:8" x14ac:dyDescent="0.25">
      <c r="H375" t="s">
        <v>32</v>
      </c>
    </row>
    <row r="377" spans="8:8" x14ac:dyDescent="0.25">
      <c r="H377" t="s">
        <v>81</v>
      </c>
    </row>
    <row r="378" spans="8:8" x14ac:dyDescent="0.25">
      <c r="H378" t="s">
        <v>474</v>
      </c>
    </row>
    <row r="379" spans="8:8" x14ac:dyDescent="0.25">
      <c r="H379" t="s">
        <v>538</v>
      </c>
    </row>
    <row r="380" spans="8:8" x14ac:dyDescent="0.25">
      <c r="H380" t="s">
        <v>598</v>
      </c>
    </row>
    <row r="381" spans="8:8" x14ac:dyDescent="0.25">
      <c r="H381" t="s">
        <v>32</v>
      </c>
    </row>
    <row r="383" spans="8:8" x14ac:dyDescent="0.25">
      <c r="H383" t="s">
        <v>90</v>
      </c>
    </row>
    <row r="384" spans="8:8" x14ac:dyDescent="0.25">
      <c r="H384" t="s">
        <v>473</v>
      </c>
    </row>
    <row r="385" spans="8:8" x14ac:dyDescent="0.25">
      <c r="H385" t="s">
        <v>538</v>
      </c>
    </row>
    <row r="386" spans="8:8" x14ac:dyDescent="0.25">
      <c r="H386" t="s">
        <v>597</v>
      </c>
    </row>
    <row r="387" spans="8:8" x14ac:dyDescent="0.25">
      <c r="H387" t="s">
        <v>32</v>
      </c>
    </row>
    <row r="388" spans="8:8" x14ac:dyDescent="0.25">
      <c r="H388" t="s">
        <v>546</v>
      </c>
    </row>
    <row r="389" spans="8:8" x14ac:dyDescent="0.25">
      <c r="H389" t="s">
        <v>813</v>
      </c>
    </row>
    <row r="390" spans="8:8" x14ac:dyDescent="0.25">
      <c r="H390" t="s">
        <v>32</v>
      </c>
    </row>
    <row r="392" spans="8:8" x14ac:dyDescent="0.25">
      <c r="H392" t="s">
        <v>91</v>
      </c>
    </row>
    <row r="393" spans="8:8" x14ac:dyDescent="0.25">
      <c r="H393" t="s">
        <v>964</v>
      </c>
    </row>
    <row r="394" spans="8:8" x14ac:dyDescent="0.25">
      <c r="H394" t="s">
        <v>538</v>
      </c>
    </row>
    <row r="395" spans="8:8" x14ac:dyDescent="0.25">
      <c r="H395" t="s">
        <v>965</v>
      </c>
    </row>
    <row r="396" spans="8:8" x14ac:dyDescent="0.25">
      <c r="H396" t="s">
        <v>32</v>
      </c>
    </row>
    <row r="398" spans="8:8" x14ac:dyDescent="0.25">
      <c r="H398" t="s">
        <v>683</v>
      </c>
    </row>
    <row r="399" spans="8:8" x14ac:dyDescent="0.25">
      <c r="H399" t="s">
        <v>475</v>
      </c>
    </row>
    <row r="400" spans="8:8" x14ac:dyDescent="0.25">
      <c r="H400" t="s">
        <v>538</v>
      </c>
    </row>
    <row r="401" spans="8:8" x14ac:dyDescent="0.25">
      <c r="H401" t="s">
        <v>599</v>
      </c>
    </row>
    <row r="402" spans="8:8" x14ac:dyDescent="0.25">
      <c r="H402" t="s">
        <v>32</v>
      </c>
    </row>
    <row r="404" spans="8:8" x14ac:dyDescent="0.25">
      <c r="H404" t="s">
        <v>684</v>
      </c>
    </row>
    <row r="405" spans="8:8" x14ac:dyDescent="0.25">
      <c r="H405" t="s">
        <v>477</v>
      </c>
    </row>
    <row r="406" spans="8:8" x14ac:dyDescent="0.25">
      <c r="H406" t="s">
        <v>538</v>
      </c>
    </row>
    <row r="407" spans="8:8" x14ac:dyDescent="0.25">
      <c r="H407" t="s">
        <v>601</v>
      </c>
    </row>
    <row r="408" spans="8:8" x14ac:dyDescent="0.25">
      <c r="H408" t="s">
        <v>32</v>
      </c>
    </row>
    <row r="410" spans="8:8" x14ac:dyDescent="0.25">
      <c r="H410" t="s">
        <v>685</v>
      </c>
    </row>
    <row r="411" spans="8:8" x14ac:dyDescent="0.25">
      <c r="H411" t="s">
        <v>476</v>
      </c>
    </row>
    <row r="412" spans="8:8" x14ac:dyDescent="0.25">
      <c r="H412" t="s">
        <v>538</v>
      </c>
    </row>
    <row r="413" spans="8:8" x14ac:dyDescent="0.25">
      <c r="H413" t="s">
        <v>600</v>
      </c>
    </row>
    <row r="414" spans="8:8" x14ac:dyDescent="0.25">
      <c r="H414" t="s">
        <v>32</v>
      </c>
    </row>
    <row r="415" spans="8:8" x14ac:dyDescent="0.25">
      <c r="H415" t="s">
        <v>546</v>
      </c>
    </row>
    <row r="416" spans="8:8" x14ac:dyDescent="0.25">
      <c r="H416" t="s">
        <v>814</v>
      </c>
    </row>
    <row r="417" spans="8:8" x14ac:dyDescent="0.25">
      <c r="H417" t="s">
        <v>32</v>
      </c>
    </row>
    <row r="419" spans="8:8" x14ac:dyDescent="0.25">
      <c r="H419" t="s">
        <v>686</v>
      </c>
    </row>
    <row r="420" spans="8:8" x14ac:dyDescent="0.25">
      <c r="H420" t="s">
        <v>966</v>
      </c>
    </row>
    <row r="421" spans="8:8" x14ac:dyDescent="0.25">
      <c r="H421" t="s">
        <v>538</v>
      </c>
    </row>
    <row r="422" spans="8:8" x14ac:dyDescent="0.25">
      <c r="H422" t="s">
        <v>967</v>
      </c>
    </row>
    <row r="423" spans="8:8" x14ac:dyDescent="0.25">
      <c r="H423" t="s">
        <v>32</v>
      </c>
    </row>
    <row r="425" spans="8:8" x14ac:dyDescent="0.25">
      <c r="H425" t="s">
        <v>687</v>
      </c>
    </row>
    <row r="426" spans="8:8" x14ac:dyDescent="0.25">
      <c r="H426" t="s">
        <v>478</v>
      </c>
    </row>
    <row r="427" spans="8:8" x14ac:dyDescent="0.25">
      <c r="H427" t="s">
        <v>538</v>
      </c>
    </row>
    <row r="428" spans="8:8" x14ac:dyDescent="0.25">
      <c r="H428" t="s">
        <v>602</v>
      </c>
    </row>
    <row r="429" spans="8:8" x14ac:dyDescent="0.25">
      <c r="H429" t="s">
        <v>32</v>
      </c>
    </row>
    <row r="431" spans="8:8" x14ac:dyDescent="0.25">
      <c r="H431" t="s">
        <v>688</v>
      </c>
    </row>
    <row r="432" spans="8:8" x14ac:dyDescent="0.25">
      <c r="H432" t="s">
        <v>817</v>
      </c>
    </row>
    <row r="433" spans="8:8" x14ac:dyDescent="0.25">
      <c r="H433" t="s">
        <v>538</v>
      </c>
    </row>
    <row r="434" spans="8:8" x14ac:dyDescent="0.25">
      <c r="H434" t="s">
        <v>987</v>
      </c>
    </row>
    <row r="435" spans="8:8" x14ac:dyDescent="0.25">
      <c r="H435" t="s">
        <v>32</v>
      </c>
    </row>
    <row r="436" spans="8:8" x14ac:dyDescent="0.25">
      <c r="H436" t="s">
        <v>546</v>
      </c>
    </row>
    <row r="437" spans="8:8" x14ac:dyDescent="0.25">
      <c r="H437" t="s">
        <v>988</v>
      </c>
    </row>
    <row r="438" spans="8:8" x14ac:dyDescent="0.25">
      <c r="H438" t="s">
        <v>32</v>
      </c>
    </row>
    <row r="440" spans="8:8" x14ac:dyDescent="0.25">
      <c r="H440" t="s">
        <v>689</v>
      </c>
    </row>
    <row r="441" spans="8:8" x14ac:dyDescent="0.25">
      <c r="H441" t="s">
        <v>479</v>
      </c>
    </row>
    <row r="442" spans="8:8" x14ac:dyDescent="0.25">
      <c r="H442" t="s">
        <v>538</v>
      </c>
    </row>
    <row r="443" spans="8:8" x14ac:dyDescent="0.25">
      <c r="H443" t="s">
        <v>907</v>
      </c>
    </row>
    <row r="444" spans="8:8" x14ac:dyDescent="0.25">
      <c r="H444" t="s">
        <v>32</v>
      </c>
    </row>
    <row r="446" spans="8:8" x14ac:dyDescent="0.25">
      <c r="H446" t="s">
        <v>690</v>
      </c>
    </row>
    <row r="447" spans="8:8" x14ac:dyDescent="0.25">
      <c r="H447" t="s">
        <v>480</v>
      </c>
    </row>
    <row r="448" spans="8:8" x14ac:dyDescent="0.25">
      <c r="H448" t="s">
        <v>538</v>
      </c>
    </row>
    <row r="449" spans="8:8" x14ac:dyDescent="0.25">
      <c r="H449" t="s">
        <v>908</v>
      </c>
    </row>
    <row r="450" spans="8:8" x14ac:dyDescent="0.25">
      <c r="H450" t="s">
        <v>32</v>
      </c>
    </row>
    <row r="452" spans="8:8" x14ac:dyDescent="0.25">
      <c r="H452" t="s">
        <v>691</v>
      </c>
    </row>
    <row r="453" spans="8:8" x14ac:dyDescent="0.25">
      <c r="H453" t="s">
        <v>909</v>
      </c>
    </row>
    <row r="454" spans="8:8" x14ac:dyDescent="0.25">
      <c r="H454" t="s">
        <v>538</v>
      </c>
    </row>
    <row r="455" spans="8:8" x14ac:dyDescent="0.25">
      <c r="H455" t="s">
        <v>910</v>
      </c>
    </row>
    <row r="456" spans="8:8" x14ac:dyDescent="0.25">
      <c r="H456" t="s">
        <v>32</v>
      </c>
    </row>
    <row r="458" spans="8:8" x14ac:dyDescent="0.25">
      <c r="H458" t="s">
        <v>692</v>
      </c>
    </row>
    <row r="459" spans="8:8" x14ac:dyDescent="0.25">
      <c r="H459" t="s">
        <v>481</v>
      </c>
    </row>
    <row r="460" spans="8:8" x14ac:dyDescent="0.25">
      <c r="H460" t="s">
        <v>538</v>
      </c>
    </row>
    <row r="461" spans="8:8" x14ac:dyDescent="0.25">
      <c r="H461" t="s">
        <v>911</v>
      </c>
    </row>
    <row r="462" spans="8:8" x14ac:dyDescent="0.25">
      <c r="H462" t="s">
        <v>32</v>
      </c>
    </row>
    <row r="464" spans="8:8" x14ac:dyDescent="0.25">
      <c r="H464" t="s">
        <v>801</v>
      </c>
    </row>
    <row r="465" spans="8:8" x14ac:dyDescent="0.25">
      <c r="H465" t="s">
        <v>912</v>
      </c>
    </row>
    <row r="466" spans="8:8" x14ac:dyDescent="0.25">
      <c r="H466" t="s">
        <v>538</v>
      </c>
    </row>
    <row r="467" spans="8:8" x14ac:dyDescent="0.25">
      <c r="H467" t="s">
        <v>913</v>
      </c>
    </row>
    <row r="468" spans="8:8" x14ac:dyDescent="0.25">
      <c r="H468" t="s">
        <v>32</v>
      </c>
    </row>
    <row r="470" spans="8:8" x14ac:dyDescent="0.25">
      <c r="H470" t="s">
        <v>802</v>
      </c>
    </row>
    <row r="471" spans="8:8" x14ac:dyDescent="0.25">
      <c r="H471" t="s">
        <v>482</v>
      </c>
    </row>
    <row r="472" spans="8:8" x14ac:dyDescent="0.25">
      <c r="H472" t="s">
        <v>538</v>
      </c>
    </row>
    <row r="473" spans="8:8" x14ac:dyDescent="0.25">
      <c r="H473" t="s">
        <v>914</v>
      </c>
    </row>
    <row r="474" spans="8:8" x14ac:dyDescent="0.25">
      <c r="H474" t="s">
        <v>32</v>
      </c>
    </row>
    <row r="476" spans="8:8" x14ac:dyDescent="0.25">
      <c r="H476" t="s">
        <v>803</v>
      </c>
    </row>
    <row r="477" spans="8:8" x14ac:dyDescent="0.25">
      <c r="H477" t="s">
        <v>916</v>
      </c>
    </row>
    <row r="478" spans="8:8" x14ac:dyDescent="0.25">
      <c r="H478" t="s">
        <v>538</v>
      </c>
    </row>
    <row r="479" spans="8:8" x14ac:dyDescent="0.25">
      <c r="H479" t="s">
        <v>917</v>
      </c>
    </row>
    <row r="480" spans="8:8" x14ac:dyDescent="0.25">
      <c r="H480" t="s">
        <v>32</v>
      </c>
    </row>
    <row r="482" spans="8:8" x14ac:dyDescent="0.25">
      <c r="H482" t="s">
        <v>804</v>
      </c>
    </row>
    <row r="483" spans="8:8" x14ac:dyDescent="0.25">
      <c r="H483" t="s">
        <v>483</v>
      </c>
    </row>
    <row r="484" spans="8:8" x14ac:dyDescent="0.25">
      <c r="H484" t="s">
        <v>538</v>
      </c>
    </row>
    <row r="485" spans="8:8" x14ac:dyDescent="0.25">
      <c r="H485" t="s">
        <v>918</v>
      </c>
    </row>
    <row r="486" spans="8:8" x14ac:dyDescent="0.25">
      <c r="H486" t="s">
        <v>32</v>
      </c>
    </row>
    <row r="488" spans="8:8" x14ac:dyDescent="0.25">
      <c r="H488" t="s">
        <v>818</v>
      </c>
    </row>
    <row r="489" spans="8:8" x14ac:dyDescent="0.25">
      <c r="H489" t="s">
        <v>484</v>
      </c>
    </row>
    <row r="490" spans="8:8" x14ac:dyDescent="0.25">
      <c r="H490" t="s">
        <v>538</v>
      </c>
    </row>
    <row r="491" spans="8:8" x14ac:dyDescent="0.25">
      <c r="H491" t="s">
        <v>603</v>
      </c>
    </row>
    <row r="492" spans="8:8" x14ac:dyDescent="0.25">
      <c r="H492" t="s">
        <v>32</v>
      </c>
    </row>
    <row r="494" spans="8:8" x14ac:dyDescent="0.25">
      <c r="H494" t="s">
        <v>915</v>
      </c>
    </row>
    <row r="495" spans="8:8" x14ac:dyDescent="0.25">
      <c r="H495" t="s">
        <v>485</v>
      </c>
    </row>
    <row r="496" spans="8:8" x14ac:dyDescent="0.25">
      <c r="H496" t="s">
        <v>538</v>
      </c>
    </row>
    <row r="497" spans="8:8" x14ac:dyDescent="0.25">
      <c r="H497" t="s">
        <v>604</v>
      </c>
    </row>
    <row r="498" spans="8:8" x14ac:dyDescent="0.25">
      <c r="H498" t="s">
        <v>32</v>
      </c>
    </row>
    <row r="500" spans="8:8" x14ac:dyDescent="0.25">
      <c r="H500" t="s">
        <v>1025</v>
      </c>
    </row>
    <row r="501" spans="8:8" x14ac:dyDescent="0.25">
      <c r="H501" t="s">
        <v>486</v>
      </c>
    </row>
    <row r="502" spans="8:8" x14ac:dyDescent="0.25">
      <c r="H502" t="s">
        <v>538</v>
      </c>
    </row>
    <row r="503" spans="8:8" x14ac:dyDescent="0.25">
      <c r="H503" t="s">
        <v>605</v>
      </c>
    </row>
    <row r="504" spans="8:8" x14ac:dyDescent="0.25">
      <c r="H504" t="s">
        <v>32</v>
      </c>
    </row>
    <row r="506" spans="8:8" x14ac:dyDescent="0.25">
      <c r="H506" t="s">
        <v>1026</v>
      </c>
    </row>
    <row r="507" spans="8:8" x14ac:dyDescent="0.25">
      <c r="H507" t="s">
        <v>487</v>
      </c>
    </row>
    <row r="508" spans="8:8" x14ac:dyDescent="0.25">
      <c r="H508" t="s">
        <v>538</v>
      </c>
    </row>
    <row r="509" spans="8:8" x14ac:dyDescent="0.25">
      <c r="H509" t="s">
        <v>606</v>
      </c>
    </row>
    <row r="510" spans="8:8" x14ac:dyDescent="0.25">
      <c r="H510" t="s">
        <v>32</v>
      </c>
    </row>
    <row r="512" spans="8:8" x14ac:dyDescent="0.25">
      <c r="H512" t="s">
        <v>1027</v>
      </c>
    </row>
    <row r="513" spans="8:8" x14ac:dyDescent="0.25">
      <c r="H513" t="s">
        <v>488</v>
      </c>
    </row>
    <row r="514" spans="8:8" x14ac:dyDescent="0.25">
      <c r="H514" t="s">
        <v>538</v>
      </c>
    </row>
    <row r="515" spans="8:8" x14ac:dyDescent="0.25">
      <c r="H515" t="s">
        <v>607</v>
      </c>
    </row>
    <row r="516" spans="8:8" x14ac:dyDescent="0.25">
      <c r="H516" t="s">
        <v>32</v>
      </c>
    </row>
    <row r="517" spans="8:8" x14ac:dyDescent="0.25">
      <c r="H517" t="s">
        <v>546</v>
      </c>
    </row>
    <row r="518" spans="8:8" x14ac:dyDescent="0.25">
      <c r="H518" t="s">
        <v>608</v>
      </c>
    </row>
    <row r="519" spans="8:8" x14ac:dyDescent="0.25">
      <c r="H519" t="s">
        <v>32</v>
      </c>
    </row>
    <row r="520" spans="8:8" x14ac:dyDescent="0.25">
      <c r="H520" t="s">
        <v>547</v>
      </c>
    </row>
    <row r="521" spans="8:8" x14ac:dyDescent="0.25">
      <c r="H521" t="s">
        <v>609</v>
      </c>
    </row>
    <row r="522" spans="8:8" x14ac:dyDescent="0.25">
      <c r="H522" t="s">
        <v>32</v>
      </c>
    </row>
    <row r="523" spans="8:8" x14ac:dyDescent="0.25">
      <c r="H523" t="s">
        <v>548</v>
      </c>
    </row>
    <row r="524" spans="8:8" x14ac:dyDescent="0.25">
      <c r="H524" t="s">
        <v>610</v>
      </c>
    </row>
    <row r="525" spans="8:8" x14ac:dyDescent="0.25">
      <c r="H525" t="s">
        <v>32</v>
      </c>
    </row>
    <row r="527" spans="8:8" x14ac:dyDescent="0.25">
      <c r="H527" t="s">
        <v>1028</v>
      </c>
    </row>
    <row r="528" spans="8:8" x14ac:dyDescent="0.25">
      <c r="H528" t="s">
        <v>489</v>
      </c>
    </row>
    <row r="529" spans="8:8" x14ac:dyDescent="0.25">
      <c r="H529" t="s">
        <v>538</v>
      </c>
    </row>
    <row r="530" spans="8:8" x14ac:dyDescent="0.25">
      <c r="H530" t="s">
        <v>611</v>
      </c>
    </row>
    <row r="531" spans="8:8" x14ac:dyDescent="0.25">
      <c r="H531" t="s">
        <v>32</v>
      </c>
    </row>
    <row r="533" spans="8:8" x14ac:dyDescent="0.25">
      <c r="H533" t="s">
        <v>1029</v>
      </c>
    </row>
    <row r="534" spans="8:8" x14ac:dyDescent="0.25">
      <c r="H534" t="s">
        <v>490</v>
      </c>
    </row>
    <row r="535" spans="8:8" x14ac:dyDescent="0.25">
      <c r="H535" t="s">
        <v>538</v>
      </c>
    </row>
    <row r="536" spans="8:8" x14ac:dyDescent="0.25">
      <c r="H536" t="s">
        <v>612</v>
      </c>
    </row>
    <row r="537" spans="8:8" x14ac:dyDescent="0.25">
      <c r="H537" t="s">
        <v>32</v>
      </c>
    </row>
    <row r="539" spans="8:8" x14ac:dyDescent="0.25">
      <c r="H539" t="s">
        <v>1030</v>
      </c>
    </row>
    <row r="540" spans="8:8" x14ac:dyDescent="0.25">
      <c r="H540" t="s">
        <v>491</v>
      </c>
    </row>
    <row r="541" spans="8:8" x14ac:dyDescent="0.25">
      <c r="H541" t="s">
        <v>538</v>
      </c>
    </row>
    <row r="542" spans="8:8" x14ac:dyDescent="0.25">
      <c r="H542" t="s">
        <v>613</v>
      </c>
    </row>
    <row r="543" spans="8:8" x14ac:dyDescent="0.25">
      <c r="H543" t="s">
        <v>32</v>
      </c>
    </row>
    <row r="545" spans="8:8" x14ac:dyDescent="0.25">
      <c r="H545" t="s">
        <v>1031</v>
      </c>
    </row>
    <row r="546" spans="8:8" x14ac:dyDescent="0.25">
      <c r="H546" t="s">
        <v>492</v>
      </c>
    </row>
    <row r="547" spans="8:8" x14ac:dyDescent="0.25">
      <c r="H547" t="s">
        <v>538</v>
      </c>
    </row>
    <row r="548" spans="8:8" x14ac:dyDescent="0.25">
      <c r="H548" t="s">
        <v>614</v>
      </c>
    </row>
    <row r="549" spans="8:8" x14ac:dyDescent="0.25">
      <c r="H549" t="s">
        <v>32</v>
      </c>
    </row>
    <row r="551" spans="8:8" x14ac:dyDescent="0.25">
      <c r="H551" t="s">
        <v>1032</v>
      </c>
    </row>
    <row r="552" spans="8:8" x14ac:dyDescent="0.25">
      <c r="H552" t="s">
        <v>493</v>
      </c>
    </row>
    <row r="553" spans="8:8" x14ac:dyDescent="0.25">
      <c r="H553" t="s">
        <v>538</v>
      </c>
    </row>
    <row r="554" spans="8:8" x14ac:dyDescent="0.25">
      <c r="H554" t="s">
        <v>615</v>
      </c>
    </row>
    <row r="555" spans="8:8" x14ac:dyDescent="0.25">
      <c r="H555" t="s">
        <v>32</v>
      </c>
    </row>
    <row r="557" spans="8:8" x14ac:dyDescent="0.25">
      <c r="H557" t="s">
        <v>29</v>
      </c>
    </row>
    <row r="558" spans="8:8" x14ac:dyDescent="0.25">
      <c r="H558" t="s">
        <v>617</v>
      </c>
    </row>
    <row r="559" spans="8:8" x14ac:dyDescent="0.25">
      <c r="H559" t="s">
        <v>616</v>
      </c>
    </row>
    <row r="561" spans="8:8" x14ac:dyDescent="0.25">
      <c r="H561" t="s">
        <v>30</v>
      </c>
    </row>
    <row r="562" spans="8:8" x14ac:dyDescent="0.25">
      <c r="H562" s="13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92</v>
      </c>
    </row>
    <row r="3" spans="1:8" x14ac:dyDescent="0.25">
      <c r="B3" t="s">
        <v>164</v>
      </c>
      <c r="H3" t="s">
        <v>88</v>
      </c>
    </row>
    <row r="4" spans="1:8" x14ac:dyDescent="0.25">
      <c r="H4" t="s">
        <v>167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535</v>
      </c>
    </row>
    <row r="7" spans="1:8" x14ac:dyDescent="0.25">
      <c r="H7" t="s">
        <v>143</v>
      </c>
    </row>
    <row r="8" spans="1:8" x14ac:dyDescent="0.25">
      <c r="B8" s="1" t="s">
        <v>20</v>
      </c>
      <c r="H8" t="s">
        <v>437</v>
      </c>
    </row>
    <row r="9" spans="1:8" x14ac:dyDescent="0.25">
      <c r="B9" t="s">
        <v>536</v>
      </c>
      <c r="H9" t="s">
        <v>538</v>
      </c>
    </row>
    <row r="10" spans="1:8" x14ac:dyDescent="0.25">
      <c r="H10" t="s">
        <v>539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</row>
    <row r="13" spans="1:8" x14ac:dyDescent="0.25">
      <c r="H13" t="s">
        <v>31</v>
      </c>
    </row>
    <row r="14" spans="1:8" x14ac:dyDescent="0.25">
      <c r="B14" s="1" t="s">
        <v>86</v>
      </c>
      <c r="H14" t="s">
        <v>438</v>
      </c>
    </row>
    <row r="15" spans="1:8" x14ac:dyDescent="0.25">
      <c r="B15" t="s">
        <v>85</v>
      </c>
      <c r="H15" t="s">
        <v>538</v>
      </c>
    </row>
    <row r="16" spans="1:8" x14ac:dyDescent="0.25">
      <c r="H16" t="s">
        <v>540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537</v>
      </c>
    </row>
    <row r="19" spans="2:8" x14ac:dyDescent="0.25">
      <c r="H19" t="s">
        <v>33</v>
      </c>
    </row>
    <row r="20" spans="2:8" x14ac:dyDescent="0.25">
      <c r="B20" s="1"/>
      <c r="H20" t="s">
        <v>439</v>
      </c>
    </row>
    <row r="21" spans="2:8" x14ac:dyDescent="0.25">
      <c r="H21" t="s">
        <v>538</v>
      </c>
    </row>
    <row r="22" spans="2:8" x14ac:dyDescent="0.25">
      <c r="H22" t="s">
        <v>541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664</v>
      </c>
    </row>
    <row r="27" spans="2:8" x14ac:dyDescent="0.25">
      <c r="H27" t="s">
        <v>538</v>
      </c>
    </row>
    <row r="28" spans="2:8" x14ac:dyDescent="0.25">
      <c r="H28" t="s">
        <v>693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666</v>
      </c>
    </row>
    <row r="33" spans="8:8" x14ac:dyDescent="0.25">
      <c r="H33" t="s">
        <v>538</v>
      </c>
    </row>
    <row r="34" spans="8:8" x14ac:dyDescent="0.25">
      <c r="H34" t="s">
        <v>694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440</v>
      </c>
    </row>
    <row r="39" spans="8:8" x14ac:dyDescent="0.25">
      <c r="H39" t="s">
        <v>538</v>
      </c>
    </row>
    <row r="40" spans="8:8" x14ac:dyDescent="0.25">
      <c r="H40" t="s">
        <v>542</v>
      </c>
    </row>
    <row r="41" spans="8:8" x14ac:dyDescent="0.25">
      <c r="H41" t="s">
        <v>32</v>
      </c>
    </row>
    <row r="43" spans="8:8" x14ac:dyDescent="0.25">
      <c r="H43" t="s">
        <v>42</v>
      </c>
    </row>
    <row r="44" spans="8:8" x14ac:dyDescent="0.25">
      <c r="H44" t="s">
        <v>444</v>
      </c>
    </row>
    <row r="45" spans="8:8" x14ac:dyDescent="0.25">
      <c r="H45" t="s">
        <v>538</v>
      </c>
    </row>
    <row r="46" spans="8:8" x14ac:dyDescent="0.25">
      <c r="H46" t="s">
        <v>543</v>
      </c>
    </row>
    <row r="47" spans="8:8" x14ac:dyDescent="0.25">
      <c r="H47" t="s">
        <v>32</v>
      </c>
    </row>
    <row r="49" spans="8:8" x14ac:dyDescent="0.25">
      <c r="H49" t="s">
        <v>43</v>
      </c>
    </row>
    <row r="50" spans="8:8" x14ac:dyDescent="0.25">
      <c r="H50" t="s">
        <v>445</v>
      </c>
    </row>
    <row r="51" spans="8:8" x14ac:dyDescent="0.25">
      <c r="H51" t="s">
        <v>538</v>
      </c>
    </row>
    <row r="52" spans="8:8" x14ac:dyDescent="0.25">
      <c r="H52" t="s">
        <v>544</v>
      </c>
    </row>
    <row r="53" spans="8:8" x14ac:dyDescent="0.25">
      <c r="H53" t="s">
        <v>32</v>
      </c>
    </row>
    <row r="55" spans="8:8" x14ac:dyDescent="0.25">
      <c r="H55" t="s">
        <v>44</v>
      </c>
    </row>
    <row r="56" spans="8:8" x14ac:dyDescent="0.25">
      <c r="H56" t="s">
        <v>672</v>
      </c>
    </row>
    <row r="57" spans="8:8" x14ac:dyDescent="0.25">
      <c r="H57" t="s">
        <v>538</v>
      </c>
    </row>
    <row r="58" spans="8:8" x14ac:dyDescent="0.25">
      <c r="H58" t="s">
        <v>695</v>
      </c>
    </row>
    <row r="59" spans="8:8" x14ac:dyDescent="0.25">
      <c r="H59" t="s">
        <v>32</v>
      </c>
    </row>
    <row r="61" spans="8:8" x14ac:dyDescent="0.25">
      <c r="H61" t="s">
        <v>45</v>
      </c>
    </row>
    <row r="62" spans="8:8" x14ac:dyDescent="0.25">
      <c r="H62" t="s">
        <v>674</v>
      </c>
    </row>
    <row r="63" spans="8:8" x14ac:dyDescent="0.25">
      <c r="H63" t="s">
        <v>538</v>
      </c>
    </row>
    <row r="64" spans="8:8" x14ac:dyDescent="0.25">
      <c r="H64" t="s">
        <v>696</v>
      </c>
    </row>
    <row r="65" spans="8:8" x14ac:dyDescent="0.25">
      <c r="H65" t="s">
        <v>32</v>
      </c>
    </row>
    <row r="67" spans="8:8" x14ac:dyDescent="0.25">
      <c r="H67" t="s">
        <v>46</v>
      </c>
    </row>
    <row r="68" spans="8:8" x14ac:dyDescent="0.25">
      <c r="H68" t="s">
        <v>446</v>
      </c>
    </row>
    <row r="69" spans="8:8" x14ac:dyDescent="0.25">
      <c r="H69" t="s">
        <v>538</v>
      </c>
    </row>
    <row r="70" spans="8:8" x14ac:dyDescent="0.25">
      <c r="H70" t="s">
        <v>545</v>
      </c>
    </row>
    <row r="71" spans="8:8" x14ac:dyDescent="0.25">
      <c r="H71" t="s">
        <v>32</v>
      </c>
    </row>
    <row r="73" spans="8:8" x14ac:dyDescent="0.25">
      <c r="H73" t="s">
        <v>47</v>
      </c>
    </row>
    <row r="74" spans="8:8" x14ac:dyDescent="0.25">
      <c r="H74" t="s">
        <v>676</v>
      </c>
    </row>
    <row r="75" spans="8:8" x14ac:dyDescent="0.25">
      <c r="H75" t="s">
        <v>538</v>
      </c>
    </row>
    <row r="76" spans="8:8" x14ac:dyDescent="0.25">
      <c r="H76" t="s">
        <v>697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678</v>
      </c>
    </row>
    <row r="81" spans="8:8" x14ac:dyDescent="0.25">
      <c r="H81" t="s">
        <v>538</v>
      </c>
    </row>
    <row r="82" spans="8:8" x14ac:dyDescent="0.25">
      <c r="H82" t="s">
        <v>698</v>
      </c>
    </row>
    <row r="83" spans="8:8" x14ac:dyDescent="0.25">
      <c r="H83" t="s">
        <v>32</v>
      </c>
    </row>
    <row r="85" spans="8:8" x14ac:dyDescent="0.25">
      <c r="H85" t="s">
        <v>49</v>
      </c>
    </row>
    <row r="86" spans="8:8" x14ac:dyDescent="0.25">
      <c r="H86" t="s">
        <v>680</v>
      </c>
    </row>
    <row r="87" spans="8:8" x14ac:dyDescent="0.25">
      <c r="H87" t="s">
        <v>538</v>
      </c>
    </row>
    <row r="88" spans="8:8" x14ac:dyDescent="0.25">
      <c r="H88" t="s">
        <v>699</v>
      </c>
    </row>
    <row r="89" spans="8:8" x14ac:dyDescent="0.25">
      <c r="H89" t="s">
        <v>32</v>
      </c>
    </row>
    <row r="91" spans="8:8" x14ac:dyDescent="0.25">
      <c r="H91" t="s">
        <v>50</v>
      </c>
    </row>
    <row r="92" spans="8:8" x14ac:dyDescent="0.25">
      <c r="H92" t="s">
        <v>959</v>
      </c>
    </row>
    <row r="93" spans="8:8" x14ac:dyDescent="0.25">
      <c r="H93" t="s">
        <v>538</v>
      </c>
    </row>
    <row r="94" spans="8:8" x14ac:dyDescent="0.25">
      <c r="H94" t="s">
        <v>968</v>
      </c>
    </row>
    <row r="95" spans="8:8" x14ac:dyDescent="0.25">
      <c r="H95" t="s">
        <v>32</v>
      </c>
    </row>
    <row r="97" spans="8:8" x14ac:dyDescent="0.25">
      <c r="H97" t="s">
        <v>51</v>
      </c>
    </row>
    <row r="98" spans="8:8" x14ac:dyDescent="0.25">
      <c r="H98" t="s">
        <v>447</v>
      </c>
    </row>
    <row r="99" spans="8:8" x14ac:dyDescent="0.25">
      <c r="H99" t="s">
        <v>538</v>
      </c>
    </row>
    <row r="100" spans="8:8" x14ac:dyDescent="0.25">
      <c r="H100" t="s">
        <v>919</v>
      </c>
    </row>
    <row r="101" spans="8:8" x14ac:dyDescent="0.25">
      <c r="H101" t="s">
        <v>32</v>
      </c>
    </row>
    <row r="102" spans="8:8" x14ac:dyDescent="0.25">
      <c r="H102" t="s">
        <v>546</v>
      </c>
    </row>
    <row r="103" spans="8:8" x14ac:dyDescent="0.25">
      <c r="H103" t="s">
        <v>920</v>
      </c>
    </row>
    <row r="104" spans="8:8" x14ac:dyDescent="0.25">
      <c r="H104" t="s">
        <v>32</v>
      </c>
    </row>
    <row r="105" spans="8:8" x14ac:dyDescent="0.25">
      <c r="H105" t="s">
        <v>448</v>
      </c>
    </row>
    <row r="106" spans="8:8" x14ac:dyDescent="0.25">
      <c r="H106" t="s">
        <v>547</v>
      </c>
    </row>
    <row r="107" spans="8:8" x14ac:dyDescent="0.25">
      <c r="H107" t="s">
        <v>1000</v>
      </c>
    </row>
    <row r="108" spans="8:8" x14ac:dyDescent="0.25">
      <c r="H108" t="s">
        <v>32</v>
      </c>
    </row>
    <row r="109" spans="8:8" x14ac:dyDescent="0.25">
      <c r="H109" t="s">
        <v>449</v>
      </c>
    </row>
    <row r="110" spans="8:8" x14ac:dyDescent="0.25">
      <c r="H110" t="s">
        <v>548</v>
      </c>
    </row>
    <row r="111" spans="8:8" x14ac:dyDescent="0.25">
      <c r="H111" t="s">
        <v>1001</v>
      </c>
    </row>
    <row r="112" spans="8:8" x14ac:dyDescent="0.25">
      <c r="H112" t="s">
        <v>32</v>
      </c>
    </row>
    <row r="114" spans="8:8" x14ac:dyDescent="0.25">
      <c r="H114" t="s">
        <v>52</v>
      </c>
    </row>
    <row r="115" spans="8:8" x14ac:dyDescent="0.25">
      <c r="H115" t="s">
        <v>450</v>
      </c>
    </row>
    <row r="116" spans="8:8" x14ac:dyDescent="0.25">
      <c r="H116" t="s">
        <v>538</v>
      </c>
    </row>
    <row r="117" spans="8:8" x14ac:dyDescent="0.25">
      <c r="H117" t="s">
        <v>921</v>
      </c>
    </row>
    <row r="118" spans="8:8" x14ac:dyDescent="0.25">
      <c r="H118" t="s">
        <v>32</v>
      </c>
    </row>
    <row r="119" spans="8:8" x14ac:dyDescent="0.25">
      <c r="H119" t="s">
        <v>888</v>
      </c>
    </row>
    <row r="120" spans="8:8" x14ac:dyDescent="0.25">
      <c r="H120" t="s">
        <v>547</v>
      </c>
    </row>
    <row r="121" spans="8:8" x14ac:dyDescent="0.25">
      <c r="H121" t="s">
        <v>1022</v>
      </c>
    </row>
    <row r="122" spans="8:8" x14ac:dyDescent="0.25">
      <c r="H122" t="s">
        <v>32</v>
      </c>
    </row>
    <row r="123" spans="8:8" x14ac:dyDescent="0.25">
      <c r="H123" t="s">
        <v>548</v>
      </c>
    </row>
    <row r="124" spans="8:8" x14ac:dyDescent="0.25">
      <c r="H124" t="s">
        <v>1023</v>
      </c>
    </row>
    <row r="125" spans="8:8" x14ac:dyDescent="0.25">
      <c r="H125" t="s">
        <v>32</v>
      </c>
    </row>
    <row r="127" spans="8:8" x14ac:dyDescent="0.25">
      <c r="H127" t="s">
        <v>53</v>
      </c>
    </row>
    <row r="128" spans="8:8" x14ac:dyDescent="0.25">
      <c r="H128" t="s">
        <v>889</v>
      </c>
    </row>
    <row r="129" spans="8:8" x14ac:dyDescent="0.25">
      <c r="H129" t="s">
        <v>538</v>
      </c>
    </row>
    <row r="130" spans="8:8" x14ac:dyDescent="0.25">
      <c r="H130" t="s">
        <v>982</v>
      </c>
    </row>
    <row r="131" spans="8:8" x14ac:dyDescent="0.25">
      <c r="H131" t="s">
        <v>32</v>
      </c>
    </row>
    <row r="132" spans="8:8" x14ac:dyDescent="0.25">
      <c r="H132" t="s">
        <v>546</v>
      </c>
    </row>
    <row r="133" spans="8:8" x14ac:dyDescent="0.25">
      <c r="H133" t="s">
        <v>983</v>
      </c>
    </row>
    <row r="134" spans="8:8" x14ac:dyDescent="0.25">
      <c r="H134" t="s">
        <v>32</v>
      </c>
    </row>
    <row r="135" spans="8:8" x14ac:dyDescent="0.25">
      <c r="H135" t="s">
        <v>451</v>
      </c>
    </row>
    <row r="136" spans="8:8" x14ac:dyDescent="0.25">
      <c r="H136" t="s">
        <v>547</v>
      </c>
    </row>
    <row r="137" spans="8:8" x14ac:dyDescent="0.25">
      <c r="H137" t="s">
        <v>1002</v>
      </c>
    </row>
    <row r="138" spans="8:8" x14ac:dyDescent="0.25">
      <c r="H138" t="s">
        <v>32</v>
      </c>
    </row>
    <row r="139" spans="8:8" x14ac:dyDescent="0.25">
      <c r="H139" t="s">
        <v>548</v>
      </c>
    </row>
    <row r="140" spans="8:8" x14ac:dyDescent="0.25">
      <c r="H140" t="s">
        <v>1003</v>
      </c>
    </row>
    <row r="141" spans="8:8" x14ac:dyDescent="0.25">
      <c r="H141" t="s">
        <v>32</v>
      </c>
    </row>
    <row r="143" spans="8:8" x14ac:dyDescent="0.25">
      <c r="H143" t="s">
        <v>54</v>
      </c>
    </row>
    <row r="144" spans="8:8" x14ac:dyDescent="0.25">
      <c r="H144" t="s">
        <v>452</v>
      </c>
    </row>
    <row r="145" spans="8:8" x14ac:dyDescent="0.25">
      <c r="H145" t="s">
        <v>538</v>
      </c>
    </row>
    <row r="146" spans="8:8" x14ac:dyDescent="0.25">
      <c r="H146" t="s">
        <v>922</v>
      </c>
    </row>
    <row r="147" spans="8:8" x14ac:dyDescent="0.25">
      <c r="H147" t="s">
        <v>32</v>
      </c>
    </row>
    <row r="149" spans="8:8" x14ac:dyDescent="0.25">
      <c r="H149" t="s">
        <v>55</v>
      </c>
    </row>
    <row r="150" spans="8:8" x14ac:dyDescent="0.25">
      <c r="H150" t="s">
        <v>682</v>
      </c>
    </row>
    <row r="151" spans="8:8" x14ac:dyDescent="0.25">
      <c r="H151" t="s">
        <v>538</v>
      </c>
    </row>
    <row r="152" spans="8:8" x14ac:dyDescent="0.25">
      <c r="H152" t="s">
        <v>923</v>
      </c>
    </row>
    <row r="153" spans="8:8" x14ac:dyDescent="0.25">
      <c r="H153" t="s">
        <v>32</v>
      </c>
    </row>
    <row r="155" spans="8:8" x14ac:dyDescent="0.25">
      <c r="H155" t="s">
        <v>56</v>
      </c>
    </row>
    <row r="156" spans="8:8" x14ac:dyDescent="0.25">
      <c r="H156" t="s">
        <v>453</v>
      </c>
    </row>
    <row r="157" spans="8:8" x14ac:dyDescent="0.25">
      <c r="H157" t="s">
        <v>538</v>
      </c>
    </row>
    <row r="158" spans="8:8" x14ac:dyDescent="0.25">
      <c r="H158" t="s">
        <v>924</v>
      </c>
    </row>
    <row r="159" spans="8:8" x14ac:dyDescent="0.25">
      <c r="H159" t="s">
        <v>32</v>
      </c>
    </row>
    <row r="161" spans="8:8" x14ac:dyDescent="0.25">
      <c r="H161" t="s">
        <v>29</v>
      </c>
    </row>
    <row r="162" spans="8:8" x14ac:dyDescent="0.25">
      <c r="H162" t="s">
        <v>618</v>
      </c>
    </row>
    <row r="163" spans="8:8" x14ac:dyDescent="0.25">
      <c r="H163" t="s">
        <v>89</v>
      </c>
    </row>
    <row r="165" spans="8:8" x14ac:dyDescent="0.25">
      <c r="H165" t="s">
        <v>30</v>
      </c>
    </row>
    <row r="166" spans="8:8" x14ac:dyDescent="0.25">
      <c r="H166" s="13" t="s">
        <v>139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144</v>
      </c>
      <c r="I2" s="1" t="s">
        <v>145</v>
      </c>
    </row>
    <row r="3" spans="2:9" x14ac:dyDescent="0.25">
      <c r="B3" t="s">
        <v>164</v>
      </c>
      <c r="H3" t="s">
        <v>556</v>
      </c>
      <c r="I3" t="s">
        <v>557</v>
      </c>
    </row>
    <row r="5" spans="2:9" x14ac:dyDescent="0.25">
      <c r="B5" s="1" t="s">
        <v>19</v>
      </c>
      <c r="H5" t="s">
        <v>558</v>
      </c>
      <c r="I5" t="s">
        <v>562</v>
      </c>
    </row>
    <row r="6" spans="2:9" x14ac:dyDescent="0.25">
      <c r="B6" t="s">
        <v>535</v>
      </c>
      <c r="H6" t="s">
        <v>549</v>
      </c>
      <c r="I6" t="s">
        <v>553</v>
      </c>
    </row>
    <row r="7" spans="2:9" x14ac:dyDescent="0.25">
      <c r="H7" t="s">
        <v>559</v>
      </c>
      <c r="I7" t="s">
        <v>563</v>
      </c>
    </row>
    <row r="8" spans="2:9" x14ac:dyDescent="0.25">
      <c r="B8" s="1" t="s">
        <v>20</v>
      </c>
      <c r="H8" t="s">
        <v>550</v>
      </c>
      <c r="I8" t="s">
        <v>554</v>
      </c>
    </row>
    <row r="9" spans="2:9" x14ac:dyDescent="0.25">
      <c r="B9" t="s">
        <v>536</v>
      </c>
      <c r="H9" t="s">
        <v>560</v>
      </c>
      <c r="I9" t="s">
        <v>704</v>
      </c>
    </row>
    <row r="10" spans="2:9" x14ac:dyDescent="0.25">
      <c r="H10" t="s">
        <v>551</v>
      </c>
      <c r="I10" t="s">
        <v>705</v>
      </c>
    </row>
    <row r="11" spans="2:9" x14ac:dyDescent="0.25">
      <c r="B11" s="1" t="s">
        <v>13</v>
      </c>
      <c r="H11" t="s">
        <v>700</v>
      </c>
      <c r="I11" t="s">
        <v>706</v>
      </c>
    </row>
    <row r="12" spans="2:9" x14ac:dyDescent="0.25">
      <c r="B12" t="s">
        <v>15</v>
      </c>
      <c r="H12" t="s">
        <v>701</v>
      </c>
      <c r="I12" t="s">
        <v>707</v>
      </c>
    </row>
    <row r="13" spans="2:9" x14ac:dyDescent="0.25">
      <c r="H13" t="s">
        <v>702</v>
      </c>
      <c r="I13" t="s">
        <v>564</v>
      </c>
    </row>
    <row r="14" spans="2:9" x14ac:dyDescent="0.25">
      <c r="B14" s="1" t="s">
        <v>86</v>
      </c>
      <c r="H14" t="s">
        <v>703</v>
      </c>
      <c r="I14" t="s">
        <v>555</v>
      </c>
    </row>
    <row r="15" spans="2:9" x14ac:dyDescent="0.25">
      <c r="B15" t="s">
        <v>85</v>
      </c>
      <c r="H15" t="s">
        <v>561</v>
      </c>
      <c r="I15" t="s">
        <v>708</v>
      </c>
    </row>
    <row r="16" spans="2:9" x14ac:dyDescent="0.25">
      <c r="H16" t="s">
        <v>552</v>
      </c>
      <c r="I16" t="s">
        <v>709</v>
      </c>
    </row>
    <row r="17" spans="2:9" x14ac:dyDescent="0.25">
      <c r="B17" s="1" t="s">
        <v>21</v>
      </c>
      <c r="H17" t="s">
        <v>562</v>
      </c>
      <c r="I17" t="s">
        <v>710</v>
      </c>
    </row>
    <row r="18" spans="2:9" x14ac:dyDescent="0.25">
      <c r="B18" t="s">
        <v>537</v>
      </c>
      <c r="H18" t="s">
        <v>553</v>
      </c>
      <c r="I18" t="s">
        <v>711</v>
      </c>
    </row>
    <row r="19" spans="2:9" x14ac:dyDescent="0.25">
      <c r="H19" t="s">
        <v>563</v>
      </c>
      <c r="I19" t="s">
        <v>712</v>
      </c>
    </row>
    <row r="20" spans="2:9" x14ac:dyDescent="0.25">
      <c r="B20" s="1"/>
      <c r="H20" t="s">
        <v>554</v>
      </c>
      <c r="I20" t="s">
        <v>713</v>
      </c>
    </row>
    <row r="21" spans="2:9" x14ac:dyDescent="0.25">
      <c r="H21" t="s">
        <v>704</v>
      </c>
      <c r="I21" t="s">
        <v>570</v>
      </c>
    </row>
    <row r="22" spans="2:9" x14ac:dyDescent="0.25">
      <c r="H22" t="s">
        <v>705</v>
      </c>
      <c r="I22" t="s">
        <v>933</v>
      </c>
    </row>
    <row r="23" spans="2:9" x14ac:dyDescent="0.25">
      <c r="H23" t="s">
        <v>706</v>
      </c>
      <c r="I23" t="s">
        <v>714</v>
      </c>
    </row>
    <row r="24" spans="2:9" x14ac:dyDescent="0.25">
      <c r="H24" t="s">
        <v>707</v>
      </c>
      <c r="I24" t="s">
        <v>934</v>
      </c>
    </row>
    <row r="25" spans="2:9" x14ac:dyDescent="0.25">
      <c r="H25" t="s">
        <v>564</v>
      </c>
      <c r="I25" t="s">
        <v>571</v>
      </c>
    </row>
    <row r="26" spans="2:9" x14ac:dyDescent="0.25">
      <c r="H26" t="s">
        <v>555</v>
      </c>
      <c r="I26" t="s">
        <v>935</v>
      </c>
    </row>
    <row r="27" spans="2:9" x14ac:dyDescent="0.25">
      <c r="H27" t="s">
        <v>708</v>
      </c>
      <c r="I27" s="13" t="s">
        <v>139</v>
      </c>
    </row>
    <row r="28" spans="2:9" x14ac:dyDescent="0.25">
      <c r="H28" t="s">
        <v>709</v>
      </c>
    </row>
    <row r="29" spans="2:9" x14ac:dyDescent="0.25">
      <c r="H29" t="s">
        <v>710</v>
      </c>
    </row>
    <row r="30" spans="2:9" x14ac:dyDescent="0.25">
      <c r="H30" t="s">
        <v>711</v>
      </c>
    </row>
    <row r="31" spans="2:9" x14ac:dyDescent="0.25">
      <c r="H31" t="s">
        <v>712</v>
      </c>
    </row>
    <row r="32" spans="2:9" x14ac:dyDescent="0.25">
      <c r="H32" t="s">
        <v>713</v>
      </c>
    </row>
    <row r="33" spans="8:8" x14ac:dyDescent="0.25">
      <c r="H33" t="s">
        <v>969</v>
      </c>
    </row>
    <row r="34" spans="8:8" x14ac:dyDescent="0.25">
      <c r="H34" t="s">
        <v>970</v>
      </c>
    </row>
    <row r="35" spans="8:8" x14ac:dyDescent="0.25">
      <c r="H35" t="s">
        <v>565</v>
      </c>
    </row>
    <row r="36" spans="8:8" x14ac:dyDescent="0.25">
      <c r="H36" t="s">
        <v>925</v>
      </c>
    </row>
    <row r="37" spans="8:8" x14ac:dyDescent="0.25">
      <c r="H37" t="s">
        <v>566</v>
      </c>
    </row>
    <row r="38" spans="8:8" x14ac:dyDescent="0.25">
      <c r="H38" t="s">
        <v>926</v>
      </c>
    </row>
    <row r="39" spans="8:8" x14ac:dyDescent="0.25">
      <c r="H39" t="s">
        <v>567</v>
      </c>
    </row>
    <row r="40" spans="8:8" x14ac:dyDescent="0.25">
      <c r="H40" t="s">
        <v>927</v>
      </c>
    </row>
    <row r="41" spans="8:8" x14ac:dyDescent="0.25">
      <c r="H41" t="s">
        <v>568</v>
      </c>
    </row>
    <row r="42" spans="8:8" x14ac:dyDescent="0.25">
      <c r="H42" t="s">
        <v>928</v>
      </c>
    </row>
    <row r="43" spans="8:8" x14ac:dyDescent="0.25">
      <c r="H43" t="s">
        <v>929</v>
      </c>
    </row>
    <row r="44" spans="8:8" x14ac:dyDescent="0.25">
      <c r="H44" t="s">
        <v>930</v>
      </c>
    </row>
    <row r="45" spans="8:8" x14ac:dyDescent="0.25">
      <c r="H45" t="s">
        <v>931</v>
      </c>
    </row>
    <row r="46" spans="8:8" x14ac:dyDescent="0.25">
      <c r="H46" t="s">
        <v>984</v>
      </c>
    </row>
    <row r="47" spans="8:8" x14ac:dyDescent="0.25">
      <c r="H47" t="s">
        <v>569</v>
      </c>
    </row>
    <row r="48" spans="8:8" x14ac:dyDescent="0.25">
      <c r="H48" t="s">
        <v>932</v>
      </c>
    </row>
    <row r="49" spans="8:8" x14ac:dyDescent="0.25">
      <c r="H49" t="s">
        <v>570</v>
      </c>
    </row>
    <row r="50" spans="8:8" x14ac:dyDescent="0.25">
      <c r="H50" t="s">
        <v>933</v>
      </c>
    </row>
    <row r="51" spans="8:8" x14ac:dyDescent="0.25">
      <c r="H51" t="s">
        <v>714</v>
      </c>
    </row>
    <row r="52" spans="8:8" x14ac:dyDescent="0.25">
      <c r="H52" t="s">
        <v>934</v>
      </c>
    </row>
    <row r="53" spans="8:8" x14ac:dyDescent="0.25">
      <c r="H53" t="s">
        <v>571</v>
      </c>
    </row>
    <row r="54" spans="8:8" x14ac:dyDescent="0.25">
      <c r="H54" t="s">
        <v>935</v>
      </c>
    </row>
    <row r="55" spans="8:8" x14ac:dyDescent="0.25">
      <c r="H55" s="13" t="s">
        <v>139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146</v>
      </c>
    </row>
    <row r="3" spans="2:8" x14ac:dyDescent="0.25">
      <c r="H3" t="s">
        <v>725</v>
      </c>
    </row>
    <row r="4" spans="2:8" x14ac:dyDescent="0.25">
      <c r="H4" t="s">
        <v>747</v>
      </c>
    </row>
    <row r="5" spans="2:8" x14ac:dyDescent="0.25">
      <c r="B5" s="1"/>
      <c r="H5" t="s">
        <v>494</v>
      </c>
    </row>
    <row r="6" spans="2:8" x14ac:dyDescent="0.25">
      <c r="H6" t="s">
        <v>748</v>
      </c>
    </row>
    <row r="8" spans="2:8" x14ac:dyDescent="0.25">
      <c r="B8" s="1"/>
      <c r="H8" t="s">
        <v>726</v>
      </c>
    </row>
    <row r="9" spans="2:8" x14ac:dyDescent="0.25">
      <c r="H9" t="s">
        <v>749</v>
      </c>
    </row>
    <row r="10" spans="2:8" x14ac:dyDescent="0.25">
      <c r="H10" t="s">
        <v>495</v>
      </c>
    </row>
    <row r="11" spans="2:8" x14ac:dyDescent="0.25">
      <c r="B11" s="1"/>
      <c r="H11" t="s">
        <v>496</v>
      </c>
    </row>
    <row r="12" spans="2:8" x14ac:dyDescent="0.25">
      <c r="H12" t="s">
        <v>715</v>
      </c>
    </row>
    <row r="13" spans="2:8" x14ac:dyDescent="0.25">
      <c r="H13" t="s">
        <v>716</v>
      </c>
    </row>
    <row r="14" spans="2:8" x14ac:dyDescent="0.25">
      <c r="B14" s="1"/>
      <c r="H14" t="s">
        <v>497</v>
      </c>
    </row>
    <row r="15" spans="2:8" x14ac:dyDescent="0.25">
      <c r="H15" t="s">
        <v>750</v>
      </c>
    </row>
    <row r="17" spans="2:8" x14ac:dyDescent="0.25">
      <c r="B17" s="1"/>
      <c r="H17" t="s">
        <v>727</v>
      </c>
    </row>
    <row r="18" spans="2:8" x14ac:dyDescent="0.25">
      <c r="H18" t="s">
        <v>751</v>
      </c>
    </row>
    <row r="19" spans="2:8" x14ac:dyDescent="0.25">
      <c r="H19" t="s">
        <v>498</v>
      </c>
    </row>
    <row r="20" spans="2:8" x14ac:dyDescent="0.25">
      <c r="B20" s="1"/>
      <c r="H20" t="s">
        <v>499</v>
      </c>
    </row>
    <row r="21" spans="2:8" x14ac:dyDescent="0.25">
      <c r="H21" t="s">
        <v>717</v>
      </c>
    </row>
    <row r="22" spans="2:8" x14ac:dyDescent="0.25">
      <c r="H22" t="s">
        <v>718</v>
      </c>
    </row>
    <row r="23" spans="2:8" x14ac:dyDescent="0.25">
      <c r="H23" t="s">
        <v>500</v>
      </c>
    </row>
    <row r="24" spans="2:8" x14ac:dyDescent="0.25">
      <c r="H24" t="s">
        <v>752</v>
      </c>
    </row>
    <row r="26" spans="2:8" x14ac:dyDescent="0.25">
      <c r="H26" t="s">
        <v>728</v>
      </c>
    </row>
    <row r="27" spans="2:8" x14ac:dyDescent="0.25">
      <c r="H27" t="s">
        <v>753</v>
      </c>
    </row>
    <row r="28" spans="2:8" x14ac:dyDescent="0.25">
      <c r="H28" t="s">
        <v>501</v>
      </c>
    </row>
    <row r="29" spans="2:8" x14ac:dyDescent="0.25">
      <c r="H29" t="s">
        <v>502</v>
      </c>
    </row>
    <row r="30" spans="2:8" x14ac:dyDescent="0.25">
      <c r="H30" t="s">
        <v>719</v>
      </c>
    </row>
    <row r="31" spans="2:8" x14ac:dyDescent="0.25">
      <c r="H31" t="s">
        <v>720</v>
      </c>
    </row>
    <row r="32" spans="2:8" x14ac:dyDescent="0.25">
      <c r="H32" t="s">
        <v>503</v>
      </c>
    </row>
    <row r="33" spans="8:8" x14ac:dyDescent="0.25">
      <c r="H33" t="s">
        <v>754</v>
      </c>
    </row>
    <row r="35" spans="8:8" x14ac:dyDescent="0.25">
      <c r="H35" t="s">
        <v>729</v>
      </c>
    </row>
    <row r="36" spans="8:8" x14ac:dyDescent="0.25">
      <c r="H36" t="s">
        <v>755</v>
      </c>
    </row>
    <row r="37" spans="8:8" x14ac:dyDescent="0.25">
      <c r="H37" t="s">
        <v>721</v>
      </c>
    </row>
    <row r="38" spans="8:8" x14ac:dyDescent="0.25">
      <c r="H38" t="s">
        <v>722</v>
      </c>
    </row>
    <row r="39" spans="8:8" x14ac:dyDescent="0.25">
      <c r="H39" t="s">
        <v>723</v>
      </c>
    </row>
    <row r="40" spans="8:8" x14ac:dyDescent="0.25">
      <c r="H40" t="s">
        <v>971</v>
      </c>
    </row>
    <row r="41" spans="8:8" x14ac:dyDescent="0.25">
      <c r="H41" t="s">
        <v>756</v>
      </c>
    </row>
    <row r="43" spans="8:8" x14ac:dyDescent="0.25">
      <c r="H43" t="s">
        <v>730</v>
      </c>
    </row>
    <row r="44" spans="8:8" x14ac:dyDescent="0.25">
      <c r="H44" t="s">
        <v>757</v>
      </c>
    </row>
    <row r="45" spans="8:8" x14ac:dyDescent="0.25">
      <c r="H45" t="s">
        <v>1004</v>
      </c>
    </row>
    <row r="46" spans="8:8" x14ac:dyDescent="0.25">
      <c r="H46" t="s">
        <v>1005</v>
      </c>
    </row>
    <row r="47" spans="8:8" x14ac:dyDescent="0.25">
      <c r="H47" t="s">
        <v>1006</v>
      </c>
    </row>
    <row r="48" spans="8:8" x14ac:dyDescent="0.25">
      <c r="H48" t="s">
        <v>1007</v>
      </c>
    </row>
    <row r="49" spans="8:8" x14ac:dyDescent="0.25">
      <c r="H49" t="s">
        <v>1008</v>
      </c>
    </row>
    <row r="50" spans="8:8" x14ac:dyDescent="0.25">
      <c r="H50" t="s">
        <v>1009</v>
      </c>
    </row>
    <row r="51" spans="8:8" x14ac:dyDescent="0.25">
      <c r="H51" t="s">
        <v>1010</v>
      </c>
    </row>
    <row r="52" spans="8:8" x14ac:dyDescent="0.25">
      <c r="H52" t="s">
        <v>504</v>
      </c>
    </row>
    <row r="53" spans="8:8" x14ac:dyDescent="0.25">
      <c r="H53" t="s">
        <v>724</v>
      </c>
    </row>
    <row r="54" spans="8:8" x14ac:dyDescent="0.25">
      <c r="H54" t="s">
        <v>505</v>
      </c>
    </row>
    <row r="55" spans="8:8" x14ac:dyDescent="0.25">
      <c r="H55" t="s">
        <v>758</v>
      </c>
    </row>
    <row r="57" spans="8:8" x14ac:dyDescent="0.25">
      <c r="H57" t="s">
        <v>731</v>
      </c>
    </row>
    <row r="58" spans="8:8" x14ac:dyDescent="0.25">
      <c r="H58" t="s">
        <v>759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990</v>
      </c>
    </row>
    <row r="66" spans="8:8" x14ac:dyDescent="0.25">
      <c r="H66" t="s">
        <v>506</v>
      </c>
    </row>
    <row r="67" spans="8:8" x14ac:dyDescent="0.25">
      <c r="H67" t="s">
        <v>507</v>
      </c>
    </row>
    <row r="68" spans="8:8" x14ac:dyDescent="0.25">
      <c r="H68" t="s">
        <v>805</v>
      </c>
    </row>
    <row r="69" spans="8:8" x14ac:dyDescent="0.25">
      <c r="H69" t="s">
        <v>760</v>
      </c>
    </row>
    <row r="71" spans="8:8" x14ac:dyDescent="0.25">
      <c r="H71" t="s">
        <v>732</v>
      </c>
    </row>
    <row r="72" spans="8:8" x14ac:dyDescent="0.25">
      <c r="H72" t="s">
        <v>761</v>
      </c>
    </row>
    <row r="73" spans="8:8" x14ac:dyDescent="0.25">
      <c r="H73" t="s">
        <v>508</v>
      </c>
    </row>
    <row r="74" spans="8:8" x14ac:dyDescent="0.25">
      <c r="H74" t="s">
        <v>806</v>
      </c>
    </row>
    <row r="75" spans="8:8" x14ac:dyDescent="0.25">
      <c r="H75" t="s">
        <v>1011</v>
      </c>
    </row>
    <row r="76" spans="8:8" x14ac:dyDescent="0.25">
      <c r="H76" t="s">
        <v>509</v>
      </c>
    </row>
    <row r="77" spans="8:8" x14ac:dyDescent="0.25">
      <c r="H77" t="s">
        <v>510</v>
      </c>
    </row>
    <row r="78" spans="8:8" x14ac:dyDescent="0.25">
      <c r="H78" t="s">
        <v>807</v>
      </c>
    </row>
    <row r="79" spans="8:8" x14ac:dyDescent="0.25">
      <c r="H79" t="s">
        <v>1012</v>
      </c>
    </row>
    <row r="80" spans="8:8" x14ac:dyDescent="0.25">
      <c r="H80" t="s">
        <v>511</v>
      </c>
    </row>
    <row r="81" spans="8:8" x14ac:dyDescent="0.25">
      <c r="H81" t="s">
        <v>512</v>
      </c>
    </row>
    <row r="82" spans="8:8" x14ac:dyDescent="0.25">
      <c r="H82" t="s">
        <v>808</v>
      </c>
    </row>
    <row r="83" spans="8:8" x14ac:dyDescent="0.25">
      <c r="H83" t="s">
        <v>1013</v>
      </c>
    </row>
    <row r="84" spans="8:8" x14ac:dyDescent="0.25">
      <c r="H84" t="s">
        <v>513</v>
      </c>
    </row>
    <row r="85" spans="8:8" x14ac:dyDescent="0.25">
      <c r="H85" t="s">
        <v>762</v>
      </c>
    </row>
    <row r="87" spans="8:8" x14ac:dyDescent="0.25">
      <c r="H87" t="s">
        <v>972</v>
      </c>
    </row>
    <row r="88" spans="8:8" x14ac:dyDescent="0.25">
      <c r="H88" t="s">
        <v>763</v>
      </c>
    </row>
    <row r="89" spans="8:8" x14ac:dyDescent="0.25">
      <c r="H89" t="s">
        <v>514</v>
      </c>
    </row>
    <row r="90" spans="8:8" x14ac:dyDescent="0.25">
      <c r="H90" t="s">
        <v>515</v>
      </c>
    </row>
    <row r="91" spans="8:8" x14ac:dyDescent="0.25">
      <c r="H91" t="s">
        <v>1014</v>
      </c>
    </row>
    <row r="92" spans="8:8" x14ac:dyDescent="0.25">
      <c r="H92" t="s">
        <v>973</v>
      </c>
    </row>
    <row r="93" spans="8:8" x14ac:dyDescent="0.25">
      <c r="H93" t="s">
        <v>516</v>
      </c>
    </row>
    <row r="94" spans="8:8" x14ac:dyDescent="0.25">
      <c r="H94" t="s">
        <v>517</v>
      </c>
    </row>
    <row r="95" spans="8:8" x14ac:dyDescent="0.25">
      <c r="H95" t="s">
        <v>1015</v>
      </c>
    </row>
    <row r="96" spans="8:8" x14ac:dyDescent="0.25">
      <c r="H96" t="s">
        <v>974</v>
      </c>
    </row>
    <row r="97" spans="8:8" x14ac:dyDescent="0.25">
      <c r="H97" t="s">
        <v>518</v>
      </c>
    </row>
    <row r="98" spans="8:8" x14ac:dyDescent="0.25">
      <c r="H98" t="s">
        <v>519</v>
      </c>
    </row>
    <row r="99" spans="8:8" x14ac:dyDescent="0.25">
      <c r="H99" t="s">
        <v>1016</v>
      </c>
    </row>
    <row r="100" spans="8:8" x14ac:dyDescent="0.25">
      <c r="H100" t="s">
        <v>975</v>
      </c>
    </row>
    <row r="101" spans="8:8" x14ac:dyDescent="0.25">
      <c r="H101" t="s">
        <v>764</v>
      </c>
    </row>
    <row r="103" spans="8:8" x14ac:dyDescent="0.25">
      <c r="H103" t="s">
        <v>733</v>
      </c>
    </row>
    <row r="104" spans="8:8" x14ac:dyDescent="0.25">
      <c r="H104" t="s">
        <v>765</v>
      </c>
    </row>
    <row r="105" spans="8:8" x14ac:dyDescent="0.25">
      <c r="H105" t="s">
        <v>520</v>
      </c>
    </row>
    <row r="106" spans="8:8" x14ac:dyDescent="0.25">
      <c r="H106" t="s">
        <v>989</v>
      </c>
    </row>
    <row r="107" spans="8:8" x14ac:dyDescent="0.25">
      <c r="H107" t="s">
        <v>521</v>
      </c>
    </row>
    <row r="108" spans="8:8" x14ac:dyDescent="0.25">
      <c r="H108" t="s">
        <v>936</v>
      </c>
    </row>
    <row r="109" spans="8:8" x14ac:dyDescent="0.25">
      <c r="H109" t="s">
        <v>937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522</v>
      </c>
    </row>
    <row r="113" spans="8:8" x14ac:dyDescent="0.25">
      <c r="H113" t="s">
        <v>940</v>
      </c>
    </row>
    <row r="114" spans="8:8" x14ac:dyDescent="0.25">
      <c r="H114" t="s">
        <v>523</v>
      </c>
    </row>
    <row r="115" spans="8:8" x14ac:dyDescent="0.25">
      <c r="H115" t="s">
        <v>766</v>
      </c>
    </row>
    <row r="117" spans="8:8" x14ac:dyDescent="0.25">
      <c r="H117" t="s">
        <v>734</v>
      </c>
    </row>
    <row r="118" spans="8:8" x14ac:dyDescent="0.25">
      <c r="H118" t="s">
        <v>767</v>
      </c>
    </row>
    <row r="119" spans="8:8" x14ac:dyDescent="0.25">
      <c r="H119" t="s">
        <v>524</v>
      </c>
    </row>
    <row r="120" spans="8:8" x14ac:dyDescent="0.25">
      <c r="H120" t="s">
        <v>525</v>
      </c>
    </row>
    <row r="121" spans="8:8" x14ac:dyDescent="0.25">
      <c r="H121" t="s">
        <v>526</v>
      </c>
    </row>
    <row r="122" spans="8:8" x14ac:dyDescent="0.25">
      <c r="H122" t="s">
        <v>527</v>
      </c>
    </row>
    <row r="123" spans="8:8" x14ac:dyDescent="0.25">
      <c r="H123" t="s">
        <v>991</v>
      </c>
    </row>
    <row r="124" spans="8:8" x14ac:dyDescent="0.25">
      <c r="H124" t="s">
        <v>528</v>
      </c>
    </row>
    <row r="125" spans="8:8" x14ac:dyDescent="0.25">
      <c r="H125" t="s">
        <v>529</v>
      </c>
    </row>
    <row r="126" spans="8:8" x14ac:dyDescent="0.25">
      <c r="H126" t="s">
        <v>530</v>
      </c>
    </row>
    <row r="127" spans="8:8" x14ac:dyDescent="0.25">
      <c r="H127" t="s">
        <v>531</v>
      </c>
    </row>
    <row r="128" spans="8:8" x14ac:dyDescent="0.25">
      <c r="H128" t="s">
        <v>532</v>
      </c>
    </row>
    <row r="129" spans="8:8" x14ac:dyDescent="0.25">
      <c r="H129" t="s">
        <v>768</v>
      </c>
    </row>
    <row r="131" spans="8:8" x14ac:dyDescent="0.25">
      <c r="H131" t="s">
        <v>735</v>
      </c>
    </row>
    <row r="132" spans="8:8" x14ac:dyDescent="0.25">
      <c r="H132" t="s">
        <v>533</v>
      </c>
    </row>
    <row r="133" spans="8:8" x14ac:dyDescent="0.25">
      <c r="H133" t="s">
        <v>769</v>
      </c>
    </row>
    <row r="134" spans="8:8" x14ac:dyDescent="0.25">
      <c r="H134" t="s">
        <v>770</v>
      </c>
    </row>
    <row r="135" spans="8:8" x14ac:dyDescent="0.25">
      <c r="H135" t="s">
        <v>771</v>
      </c>
    </row>
    <row r="136" spans="8:8" x14ac:dyDescent="0.25">
      <c r="H136" t="s">
        <v>772</v>
      </c>
    </row>
    <row r="137" spans="8:8" x14ac:dyDescent="0.25">
      <c r="H137" t="s">
        <v>773</v>
      </c>
    </row>
    <row r="138" spans="8:8" x14ac:dyDescent="0.25">
      <c r="H138" t="s">
        <v>774</v>
      </c>
    </row>
    <row r="139" spans="8:8" x14ac:dyDescent="0.25">
      <c r="H139" t="s">
        <v>775</v>
      </c>
    </row>
    <row r="140" spans="8:8" x14ac:dyDescent="0.25">
      <c r="H140" t="s">
        <v>776</v>
      </c>
    </row>
    <row r="141" spans="8:8" x14ac:dyDescent="0.25">
      <c r="H141" t="s">
        <v>777</v>
      </c>
    </row>
    <row r="142" spans="8:8" x14ac:dyDescent="0.25">
      <c r="H142" t="s">
        <v>778</v>
      </c>
    </row>
    <row r="143" spans="8:8" x14ac:dyDescent="0.25">
      <c r="H143" t="s">
        <v>779</v>
      </c>
    </row>
    <row r="144" spans="8:8" x14ac:dyDescent="0.25">
      <c r="H144" t="s">
        <v>534</v>
      </c>
    </row>
    <row r="145" spans="8:8" x14ac:dyDescent="0.25">
      <c r="H145" s="13" t="s">
        <v>158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2019-09-24T01:31:38Z</dcterms:modified>
</cp:coreProperties>
</file>