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FTDI_USB3\References\"/>
    </mc:Choice>
  </mc:AlternateContent>
  <xr:revisionPtr revIDLastSave="0" documentId="13_ncr:1_{26EFF309-38B4-4821-979B-BE84C48E006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46" i="1" l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S9" i="1"/>
  <c r="Z9" i="1" s="1"/>
  <c r="R9" i="1"/>
  <c r="Q9" i="1"/>
  <c r="AH9" i="1" l="1"/>
  <c r="AD9" i="1"/>
  <c r="T9" i="1"/>
  <c r="X9" i="1"/>
  <c r="U9" i="1"/>
  <c r="V9" i="1" s="1"/>
  <c r="Y9" i="1"/>
  <c r="S10" i="1"/>
  <c r="W9" i="1"/>
  <c r="R8" i="1"/>
  <c r="Q8" i="1"/>
  <c r="AE9" i="1" l="1"/>
  <c r="AA9" i="1"/>
  <c r="AF9" i="1"/>
  <c r="AB9" i="1"/>
  <c r="AG9" i="1"/>
  <c r="AC9" i="1"/>
  <c r="X10" i="1"/>
  <c r="T10" i="1"/>
  <c r="Z10" i="1"/>
  <c r="S11" i="1"/>
  <c r="U10" i="1"/>
  <c r="V10" i="1" s="1"/>
  <c r="W10" i="1"/>
  <c r="Y10" i="1"/>
  <c r="R7" i="1"/>
  <c r="Q7" i="1"/>
  <c r="R6" i="1"/>
  <c r="Q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E10" i="1" l="1"/>
  <c r="AA10" i="1"/>
  <c r="AF10" i="1"/>
  <c r="AB10" i="1"/>
  <c r="Z11" i="1"/>
  <c r="X11" i="1"/>
  <c r="T11" i="1"/>
  <c r="W11" i="1"/>
  <c r="S12" i="1"/>
  <c r="Y11" i="1"/>
  <c r="U11" i="1"/>
  <c r="V11" i="1" s="1"/>
  <c r="AC10" i="1"/>
  <c r="AG10" i="1"/>
  <c r="AH10" i="1"/>
  <c r="AD10" i="1"/>
  <c r="S5" i="1"/>
  <c r="T5" i="1" s="1"/>
  <c r="AD4" i="1"/>
  <c r="AA4" i="1"/>
  <c r="AC4" i="1"/>
  <c r="AB4" i="1"/>
  <c r="AE11" i="1" l="1"/>
  <c r="AA11" i="1"/>
  <c r="AG11" i="1"/>
  <c r="AC11" i="1"/>
  <c r="AF11" i="1"/>
  <c r="AB11" i="1"/>
  <c r="X12" i="1"/>
  <c r="T12" i="1"/>
  <c r="Z12" i="1"/>
  <c r="S13" i="1"/>
  <c r="U12" i="1"/>
  <c r="V12" i="1" s="1"/>
  <c r="W12" i="1"/>
  <c r="Y12" i="1"/>
  <c r="AH11" i="1"/>
  <c r="AD11" i="1"/>
  <c r="U5" i="1"/>
  <c r="V5" i="1" s="1"/>
  <c r="X5" i="1"/>
  <c r="AF5" i="1" s="1"/>
  <c r="Y5" i="1"/>
  <c r="AC5" i="1" s="1"/>
  <c r="W5" i="1"/>
  <c r="AA5" i="1" s="1"/>
  <c r="S6" i="1"/>
  <c r="Z5" i="1"/>
  <c r="AH5" i="1" s="1"/>
  <c r="AE12" i="1" l="1"/>
  <c r="AA12" i="1"/>
  <c r="AF12" i="1"/>
  <c r="AB12" i="1"/>
  <c r="Z13" i="1"/>
  <c r="X13" i="1"/>
  <c r="T13" i="1"/>
  <c r="W13" i="1"/>
  <c r="S14" i="1"/>
  <c r="Y13" i="1"/>
  <c r="U13" i="1"/>
  <c r="V13" i="1" s="1"/>
  <c r="AG12" i="1"/>
  <c r="AC12" i="1"/>
  <c r="AH12" i="1"/>
  <c r="AD12" i="1"/>
  <c r="AB5" i="1"/>
  <c r="AG5" i="1"/>
  <c r="AE5" i="1"/>
  <c r="W6" i="1"/>
  <c r="S7" i="1"/>
  <c r="S8" i="1" s="1"/>
  <c r="Y6" i="1"/>
  <c r="U6" i="1"/>
  <c r="V6" i="1" s="1"/>
  <c r="Z6" i="1"/>
  <c r="X6" i="1"/>
  <c r="T6" i="1"/>
  <c r="AD5" i="1"/>
  <c r="AG13" i="1" l="1"/>
  <c r="AC13" i="1"/>
  <c r="AE13" i="1"/>
  <c r="AA13" i="1"/>
  <c r="AF13" i="1"/>
  <c r="AB13" i="1"/>
  <c r="X14" i="1"/>
  <c r="T14" i="1"/>
  <c r="Z14" i="1"/>
  <c r="S15" i="1"/>
  <c r="Y14" i="1"/>
  <c r="U14" i="1"/>
  <c r="V14" i="1" s="1"/>
  <c r="W14" i="1"/>
  <c r="AH13" i="1"/>
  <c r="AD13" i="1"/>
  <c r="W8" i="1"/>
  <c r="Z8" i="1"/>
  <c r="Y8" i="1"/>
  <c r="U8" i="1"/>
  <c r="V8" i="1" s="1"/>
  <c r="T8" i="1"/>
  <c r="X8" i="1"/>
  <c r="AG6" i="1"/>
  <c r="AC6" i="1"/>
  <c r="AF6" i="1"/>
  <c r="AB6" i="1"/>
  <c r="Y7" i="1"/>
  <c r="U7" i="1"/>
  <c r="V7" i="1" s="1"/>
  <c r="X7" i="1"/>
  <c r="T7" i="1"/>
  <c r="W7" i="1"/>
  <c r="Z7" i="1"/>
  <c r="AH6" i="1"/>
  <c r="AD6" i="1"/>
  <c r="AE6" i="1"/>
  <c r="AA6" i="1"/>
  <c r="AG14" i="1" l="1"/>
  <c r="AC14" i="1"/>
  <c r="AF14" i="1"/>
  <c r="AB14" i="1"/>
  <c r="Z15" i="1"/>
  <c r="X15" i="1"/>
  <c r="T15" i="1"/>
  <c r="W15" i="1"/>
  <c r="S16" i="1"/>
  <c r="Y15" i="1"/>
  <c r="U15" i="1"/>
  <c r="V15" i="1" s="1"/>
  <c r="AE14" i="1"/>
  <c r="AA14" i="1"/>
  <c r="AH14" i="1"/>
  <c r="AD14" i="1"/>
  <c r="AG8" i="1"/>
  <c r="AC8" i="1"/>
  <c r="AF8" i="1"/>
  <c r="AB8" i="1"/>
  <c r="AH8" i="1"/>
  <c r="AD8" i="1"/>
  <c r="AE8" i="1"/>
  <c r="AA8" i="1"/>
  <c r="AF7" i="1"/>
  <c r="AB7" i="1"/>
  <c r="AH7" i="1"/>
  <c r="AD7" i="1"/>
  <c r="AE7" i="1"/>
  <c r="AA7" i="1"/>
  <c r="AG7" i="1"/>
  <c r="AC7" i="1"/>
  <c r="AF15" i="1" l="1"/>
  <c r="AB15" i="1"/>
  <c r="AE15" i="1"/>
  <c r="AA15" i="1"/>
  <c r="AG15" i="1"/>
  <c r="AC15" i="1"/>
  <c r="X16" i="1"/>
  <c r="T16" i="1"/>
  <c r="Z16" i="1"/>
  <c r="W16" i="1"/>
  <c r="S17" i="1"/>
  <c r="Y16" i="1"/>
  <c r="U16" i="1"/>
  <c r="V16" i="1" s="1"/>
  <c r="AH15" i="1"/>
  <c r="AD15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16" i="1" l="1"/>
  <c r="AA16" i="1"/>
  <c r="AG16" i="1"/>
  <c r="AC16" i="1"/>
  <c r="Z17" i="1"/>
  <c r="X17" i="1"/>
  <c r="T17" i="1"/>
  <c r="S18" i="1"/>
  <c r="Y17" i="1"/>
  <c r="U17" i="1"/>
  <c r="V17" i="1" s="1"/>
  <c r="W17" i="1"/>
  <c r="AF16" i="1"/>
  <c r="AB16" i="1"/>
  <c r="AH16" i="1"/>
  <c r="AD16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X18" i="1" l="1"/>
  <c r="T18" i="1"/>
  <c r="Z18" i="1"/>
  <c r="W18" i="1"/>
  <c r="S19" i="1"/>
  <c r="Y18" i="1"/>
  <c r="U18" i="1"/>
  <c r="V18" i="1" s="1"/>
  <c r="AE17" i="1"/>
  <c r="AA17" i="1"/>
  <c r="AF17" i="1"/>
  <c r="AB17" i="1"/>
  <c r="AG17" i="1"/>
  <c r="AC17" i="1"/>
  <c r="AH17" i="1"/>
  <c r="AD17" i="1"/>
  <c r="AE18" i="1" l="1"/>
  <c r="AA18" i="1"/>
  <c r="AH18" i="1"/>
  <c r="AD18" i="1"/>
  <c r="AG18" i="1"/>
  <c r="AC18" i="1"/>
  <c r="Z19" i="1"/>
  <c r="X19" i="1"/>
  <c r="T19" i="1"/>
  <c r="S20" i="1"/>
  <c r="Y19" i="1"/>
  <c r="U19" i="1"/>
  <c r="V19" i="1" s="1"/>
  <c r="W19" i="1"/>
  <c r="AF18" i="1"/>
  <c r="AB18" i="1"/>
  <c r="AF19" i="1" l="1"/>
  <c r="AB19" i="1"/>
  <c r="AG19" i="1"/>
  <c r="AC19" i="1"/>
  <c r="AH19" i="1"/>
  <c r="AD19" i="1"/>
  <c r="X20" i="1"/>
  <c r="T20" i="1"/>
  <c r="S21" i="1"/>
  <c r="Y20" i="1"/>
  <c r="U20" i="1"/>
  <c r="V20" i="1" s="1"/>
  <c r="W20" i="1"/>
  <c r="Z20" i="1"/>
  <c r="AE19" i="1"/>
  <c r="AA19" i="1"/>
  <c r="AE20" i="1" l="1"/>
  <c r="AA20" i="1"/>
  <c r="AG20" i="1"/>
  <c r="AC20" i="1"/>
  <c r="AF20" i="1"/>
  <c r="AB20" i="1"/>
  <c r="AH20" i="1"/>
  <c r="AD20" i="1"/>
  <c r="Z21" i="1"/>
  <c r="W21" i="1"/>
  <c r="S22" i="1"/>
  <c r="Y21" i="1"/>
  <c r="U21" i="1"/>
  <c r="V21" i="1" s="1"/>
  <c r="X21" i="1"/>
  <c r="T21" i="1"/>
  <c r="AG21" i="1" l="1"/>
  <c r="AC21" i="1"/>
  <c r="X22" i="1"/>
  <c r="T22" i="1"/>
  <c r="Z22" i="1"/>
  <c r="Y22" i="1"/>
  <c r="S23" i="1"/>
  <c r="W22" i="1"/>
  <c r="U22" i="1"/>
  <c r="V22" i="1" s="1"/>
  <c r="AE21" i="1"/>
  <c r="AA21" i="1"/>
  <c r="AF21" i="1"/>
  <c r="AB21" i="1"/>
  <c r="AH21" i="1"/>
  <c r="AD21" i="1"/>
  <c r="X23" i="1" l="1"/>
  <c r="T23" i="1"/>
  <c r="Z23" i="1"/>
  <c r="U23" i="1"/>
  <c r="V23" i="1" s="1"/>
  <c r="Y23" i="1"/>
  <c r="W23" i="1"/>
  <c r="S24" i="1"/>
  <c r="AB22" i="1"/>
  <c r="AF22" i="1"/>
  <c r="AE22" i="1"/>
  <c r="AA22" i="1"/>
  <c r="AG22" i="1"/>
  <c r="AC22" i="1"/>
  <c r="AH22" i="1"/>
  <c r="AD22" i="1"/>
  <c r="Z24" i="1" l="1"/>
  <c r="W24" i="1"/>
  <c r="S25" i="1"/>
  <c r="U24" i="1"/>
  <c r="V24" i="1" s="1"/>
  <c r="Y24" i="1"/>
  <c r="T24" i="1"/>
  <c r="X24" i="1"/>
  <c r="AD23" i="1"/>
  <c r="AH23" i="1"/>
  <c r="AE23" i="1"/>
  <c r="AA23" i="1"/>
  <c r="AC23" i="1"/>
  <c r="AG23" i="1"/>
  <c r="AF23" i="1"/>
  <c r="AB23" i="1"/>
  <c r="X25" i="1" l="1"/>
  <c r="T25" i="1"/>
  <c r="Z25" i="1"/>
  <c r="U25" i="1"/>
  <c r="V25" i="1" s="1"/>
  <c r="Y25" i="1"/>
  <c r="W25" i="1"/>
  <c r="S26" i="1"/>
  <c r="AB24" i="1"/>
  <c r="AF24" i="1"/>
  <c r="AA24" i="1"/>
  <c r="AE24" i="1"/>
  <c r="AG24" i="1"/>
  <c r="AC24" i="1"/>
  <c r="AH24" i="1"/>
  <c r="AD24" i="1"/>
  <c r="Z26" i="1" l="1"/>
  <c r="W26" i="1"/>
  <c r="S27" i="1"/>
  <c r="U26" i="1"/>
  <c r="V26" i="1" s="1"/>
  <c r="Y26" i="1"/>
  <c r="T26" i="1"/>
  <c r="X26" i="1"/>
  <c r="AH25" i="1"/>
  <c r="AD25" i="1"/>
  <c r="AE25" i="1"/>
  <c r="AA25" i="1"/>
  <c r="AC25" i="1"/>
  <c r="AG25" i="1"/>
  <c r="AF25" i="1"/>
  <c r="AB25" i="1"/>
  <c r="X27" i="1" l="1"/>
  <c r="T27" i="1"/>
  <c r="W27" i="1"/>
  <c r="U27" i="1"/>
  <c r="V27" i="1" s="1"/>
  <c r="S28" i="1"/>
  <c r="Y27" i="1"/>
  <c r="Z27" i="1"/>
  <c r="AA26" i="1"/>
  <c r="AE26" i="1"/>
  <c r="AB26" i="1"/>
  <c r="AF26" i="1"/>
  <c r="AG26" i="1"/>
  <c r="AC26" i="1"/>
  <c r="AH26" i="1"/>
  <c r="AD26" i="1"/>
  <c r="AD27" i="1" l="1"/>
  <c r="AH27" i="1"/>
  <c r="AC27" i="1"/>
  <c r="AG27" i="1"/>
  <c r="AE27" i="1"/>
  <c r="AA27" i="1"/>
  <c r="Z28" i="1"/>
  <c r="S29" i="1"/>
  <c r="Y28" i="1"/>
  <c r="U28" i="1"/>
  <c r="V28" i="1" s="1"/>
  <c r="W28" i="1"/>
  <c r="T28" i="1"/>
  <c r="X28" i="1"/>
  <c r="AF27" i="1"/>
  <c r="AB27" i="1"/>
  <c r="AE28" i="1" l="1"/>
  <c r="AA28" i="1"/>
  <c r="AH28" i="1"/>
  <c r="AD28" i="1"/>
  <c r="X29" i="1"/>
  <c r="T29" i="1"/>
  <c r="W29" i="1"/>
  <c r="U29" i="1"/>
  <c r="V29" i="1" s="1"/>
  <c r="Y29" i="1"/>
  <c r="Z29" i="1"/>
  <c r="S30" i="1"/>
  <c r="AF28" i="1"/>
  <c r="AB28" i="1"/>
  <c r="AG28" i="1"/>
  <c r="AC28" i="1"/>
  <c r="AE29" i="1" l="1"/>
  <c r="AA29" i="1"/>
  <c r="AH29" i="1"/>
  <c r="AD29" i="1"/>
  <c r="Z30" i="1"/>
  <c r="S31" i="1"/>
  <c r="Y30" i="1"/>
  <c r="U30" i="1"/>
  <c r="V30" i="1" s="1"/>
  <c r="W30" i="1"/>
  <c r="X30" i="1"/>
  <c r="T30" i="1"/>
  <c r="AC29" i="1"/>
  <c r="AG29" i="1"/>
  <c r="AF29" i="1"/>
  <c r="AB29" i="1"/>
  <c r="AG30" i="1" l="1"/>
  <c r="AC30" i="1"/>
  <c r="AF30" i="1"/>
  <c r="AB30" i="1"/>
  <c r="X31" i="1"/>
  <c r="T31" i="1"/>
  <c r="W31" i="1"/>
  <c r="U31" i="1"/>
  <c r="V31" i="1" s="1"/>
  <c r="S32" i="1"/>
  <c r="Y31" i="1"/>
  <c r="Z31" i="1"/>
  <c r="AE30" i="1"/>
  <c r="AA30" i="1"/>
  <c r="AH30" i="1"/>
  <c r="AD30" i="1"/>
  <c r="AE31" i="1" l="1"/>
  <c r="AA31" i="1"/>
  <c r="AC31" i="1"/>
  <c r="AG31" i="1"/>
  <c r="AD31" i="1"/>
  <c r="AH31" i="1"/>
  <c r="Z32" i="1"/>
  <c r="S33" i="1"/>
  <c r="Y32" i="1"/>
  <c r="U32" i="1"/>
  <c r="V32" i="1" s="1"/>
  <c r="W32" i="1"/>
  <c r="X32" i="1"/>
  <c r="T32" i="1"/>
  <c r="AF31" i="1"/>
  <c r="AB31" i="1"/>
  <c r="AF32" i="1" l="1"/>
  <c r="AB32" i="1"/>
  <c r="S34" i="1"/>
  <c r="X33" i="1"/>
  <c r="T33" i="1"/>
  <c r="W33" i="1"/>
  <c r="U33" i="1"/>
  <c r="V33" i="1" s="1"/>
  <c r="Y33" i="1"/>
  <c r="Z33" i="1"/>
  <c r="AE32" i="1"/>
  <c r="AA32" i="1"/>
  <c r="AH32" i="1"/>
  <c r="AD32" i="1"/>
  <c r="AG32" i="1"/>
  <c r="AC32" i="1"/>
  <c r="AC33" i="1" l="1"/>
  <c r="AG33" i="1"/>
  <c r="AF33" i="1"/>
  <c r="AB33" i="1"/>
  <c r="Z34" i="1"/>
  <c r="X34" i="1"/>
  <c r="W34" i="1"/>
  <c r="S35" i="1"/>
  <c r="U34" i="1"/>
  <c r="V34" i="1" s="1"/>
  <c r="Y34" i="1"/>
  <c r="T34" i="1"/>
  <c r="AE33" i="1"/>
  <c r="AA33" i="1"/>
  <c r="AD33" i="1"/>
  <c r="AH33" i="1"/>
  <c r="X35" i="1" l="1"/>
  <c r="T35" i="1"/>
  <c r="S36" i="1"/>
  <c r="Z35" i="1"/>
  <c r="U35" i="1"/>
  <c r="V35" i="1" s="1"/>
  <c r="Y35" i="1"/>
  <c r="W35" i="1"/>
  <c r="AB34" i="1"/>
  <c r="AF34" i="1"/>
  <c r="AA34" i="1"/>
  <c r="AE34" i="1"/>
  <c r="AC34" i="1"/>
  <c r="AG34" i="1"/>
  <c r="AH34" i="1"/>
  <c r="AD34" i="1"/>
  <c r="AG35" i="1" l="1"/>
  <c r="AC35" i="1"/>
  <c r="AD35" i="1"/>
  <c r="AH35" i="1"/>
  <c r="AA35" i="1"/>
  <c r="AE35" i="1"/>
  <c r="Z36" i="1"/>
  <c r="X36" i="1"/>
  <c r="W36" i="1"/>
  <c r="S37" i="1"/>
  <c r="U36" i="1"/>
  <c r="V36" i="1" s="1"/>
  <c r="T36" i="1"/>
  <c r="Y36" i="1"/>
  <c r="AF35" i="1"/>
  <c r="AB35" i="1"/>
  <c r="AB36" i="1" l="1"/>
  <c r="AF36" i="1"/>
  <c r="AH36" i="1"/>
  <c r="AD36" i="1"/>
  <c r="X37" i="1"/>
  <c r="T37" i="1"/>
  <c r="S38" i="1"/>
  <c r="Z37" i="1"/>
  <c r="U37" i="1"/>
  <c r="V37" i="1" s="1"/>
  <c r="Y37" i="1"/>
  <c r="W37" i="1"/>
  <c r="AC36" i="1"/>
  <c r="AG36" i="1"/>
  <c r="AA36" i="1"/>
  <c r="AE36" i="1"/>
  <c r="AD37" i="1" l="1"/>
  <c r="AH37" i="1"/>
  <c r="AA37" i="1"/>
  <c r="AE37" i="1"/>
  <c r="Z38" i="1"/>
  <c r="X38" i="1"/>
  <c r="W38" i="1"/>
  <c r="S39" i="1"/>
  <c r="U38" i="1"/>
  <c r="V38" i="1" s="1"/>
  <c r="T38" i="1"/>
  <c r="Y38" i="1"/>
  <c r="AG37" i="1"/>
  <c r="AC37" i="1"/>
  <c r="AF37" i="1"/>
  <c r="AB37" i="1"/>
  <c r="X39" i="1" l="1"/>
  <c r="T39" i="1"/>
  <c r="S40" i="1"/>
  <c r="Z39" i="1"/>
  <c r="U39" i="1"/>
  <c r="V39" i="1" s="1"/>
  <c r="Y39" i="1"/>
  <c r="W39" i="1"/>
  <c r="AC38" i="1"/>
  <c r="AG38" i="1"/>
  <c r="AB38" i="1"/>
  <c r="AF38" i="1"/>
  <c r="AA38" i="1"/>
  <c r="AE38" i="1"/>
  <c r="AH38" i="1"/>
  <c r="AD38" i="1"/>
  <c r="AD39" i="1" l="1"/>
  <c r="AH39" i="1"/>
  <c r="AA39" i="1"/>
  <c r="AE39" i="1"/>
  <c r="AG39" i="1"/>
  <c r="AC39" i="1"/>
  <c r="Z40" i="1"/>
  <c r="X40" i="1"/>
  <c r="W40" i="1"/>
  <c r="S41" i="1"/>
  <c r="U40" i="1"/>
  <c r="V40" i="1" s="1"/>
  <c r="T40" i="1"/>
  <c r="Y40" i="1"/>
  <c r="AF39" i="1"/>
  <c r="AB39" i="1"/>
  <c r="AB40" i="1" l="1"/>
  <c r="AF40" i="1"/>
  <c r="X41" i="1"/>
  <c r="T41" i="1"/>
  <c r="S42" i="1"/>
  <c r="Z41" i="1"/>
  <c r="U41" i="1"/>
  <c r="V41" i="1" s="1"/>
  <c r="Y41" i="1"/>
  <c r="W41" i="1"/>
  <c r="AH40" i="1"/>
  <c r="AD40" i="1"/>
  <c r="AC40" i="1"/>
  <c r="AG40" i="1"/>
  <c r="AA40" i="1"/>
  <c r="AE40" i="1"/>
  <c r="AG41" i="1" l="1"/>
  <c r="AC41" i="1"/>
  <c r="AF41" i="1"/>
  <c r="AB41" i="1"/>
  <c r="AD41" i="1"/>
  <c r="AH41" i="1"/>
  <c r="AA41" i="1"/>
  <c r="AE41" i="1"/>
  <c r="Z42" i="1"/>
  <c r="X42" i="1"/>
  <c r="W42" i="1"/>
  <c r="S43" i="1"/>
  <c r="U42" i="1"/>
  <c r="V42" i="1" s="1"/>
  <c r="Y42" i="1"/>
  <c r="T42" i="1"/>
  <c r="AA42" i="1" l="1"/>
  <c r="AE42" i="1"/>
  <c r="AC42" i="1"/>
  <c r="AG42" i="1"/>
  <c r="AB42" i="1"/>
  <c r="AF42" i="1"/>
  <c r="X43" i="1"/>
  <c r="T43" i="1"/>
  <c r="S44" i="1"/>
  <c r="Z43" i="1"/>
  <c r="U43" i="1"/>
  <c r="V43" i="1" s="1"/>
  <c r="Y43" i="1"/>
  <c r="W43" i="1"/>
  <c r="AH42" i="1"/>
  <c r="AD42" i="1"/>
  <c r="Z44" i="1" l="1"/>
  <c r="X44" i="1"/>
  <c r="W44" i="1"/>
  <c r="S45" i="1"/>
  <c r="U44" i="1"/>
  <c r="V44" i="1" s="1"/>
  <c r="T44" i="1"/>
  <c r="Y44" i="1"/>
  <c r="AG43" i="1"/>
  <c r="AC43" i="1"/>
  <c r="AF43" i="1"/>
  <c r="AB43" i="1"/>
  <c r="AD43" i="1"/>
  <c r="AH43" i="1"/>
  <c r="AA43" i="1"/>
  <c r="AE43" i="1"/>
  <c r="AC44" i="1" l="1"/>
  <c r="AG44" i="1"/>
  <c r="AB44" i="1"/>
  <c r="AF44" i="1"/>
  <c r="X45" i="1"/>
  <c r="T45" i="1"/>
  <c r="S46" i="1"/>
  <c r="Z45" i="1"/>
  <c r="U45" i="1"/>
  <c r="V45" i="1" s="1"/>
  <c r="Y45" i="1"/>
  <c r="W45" i="1"/>
  <c r="AA44" i="1"/>
  <c r="AE44" i="1"/>
  <c r="AH44" i="1"/>
  <c r="AD44" i="1"/>
  <c r="AA45" i="1" l="1"/>
  <c r="AE45" i="1"/>
  <c r="Z46" i="1"/>
  <c r="X46" i="1"/>
  <c r="W46" i="1"/>
  <c r="S47" i="1"/>
  <c r="U46" i="1"/>
  <c r="V46" i="1" s="1"/>
  <c r="T46" i="1"/>
  <c r="Y46" i="1"/>
  <c r="AG45" i="1"/>
  <c r="AC45" i="1"/>
  <c r="AD45" i="1"/>
  <c r="AH45" i="1"/>
  <c r="AF45" i="1"/>
  <c r="AB45" i="1"/>
  <c r="AH46" i="1" l="1"/>
  <c r="AD46" i="1"/>
  <c r="AB46" i="1"/>
  <c r="AF46" i="1"/>
  <c r="X47" i="1"/>
  <c r="T47" i="1"/>
  <c r="S48" i="1"/>
  <c r="Z47" i="1"/>
  <c r="U47" i="1"/>
  <c r="V47" i="1" s="1"/>
  <c r="Y47" i="1"/>
  <c r="W47" i="1"/>
  <c r="AC46" i="1"/>
  <c r="AG46" i="1"/>
  <c r="AA46" i="1"/>
  <c r="AE46" i="1"/>
  <c r="AA47" i="1" l="1"/>
  <c r="AE47" i="1"/>
  <c r="AG47" i="1"/>
  <c r="AC47" i="1"/>
  <c r="AD47" i="1"/>
  <c r="AH47" i="1"/>
  <c r="Z48" i="1"/>
  <c r="X48" i="1"/>
  <c r="W48" i="1"/>
  <c r="S49" i="1"/>
  <c r="U48" i="1"/>
  <c r="V48" i="1" s="1"/>
  <c r="T48" i="1"/>
  <c r="Y48" i="1"/>
  <c r="AF47" i="1"/>
  <c r="AB47" i="1"/>
  <c r="AB48" i="1" l="1"/>
  <c r="AF48" i="1"/>
  <c r="X49" i="1"/>
  <c r="T49" i="1"/>
  <c r="S50" i="1"/>
  <c r="Z49" i="1"/>
  <c r="U49" i="1"/>
  <c r="V49" i="1" s="1"/>
  <c r="Y49" i="1"/>
  <c r="W49" i="1"/>
  <c r="AH48" i="1"/>
  <c r="AD48" i="1"/>
  <c r="AC48" i="1"/>
  <c r="AG48" i="1"/>
  <c r="AA48" i="1"/>
  <c r="AE48" i="1"/>
  <c r="AG49" i="1" l="1"/>
  <c r="AC49" i="1"/>
  <c r="AF49" i="1"/>
  <c r="AB49" i="1"/>
  <c r="AD49" i="1"/>
  <c r="AH49" i="1"/>
  <c r="AA49" i="1"/>
  <c r="AE49" i="1"/>
  <c r="Z50" i="1"/>
  <c r="X50" i="1"/>
  <c r="W50" i="1"/>
  <c r="S51" i="1"/>
  <c r="U50" i="1"/>
  <c r="V50" i="1" s="1"/>
  <c r="Y50" i="1"/>
  <c r="T50" i="1"/>
  <c r="AA50" i="1" l="1"/>
  <c r="AE50" i="1"/>
  <c r="X51" i="1"/>
  <c r="T51" i="1"/>
  <c r="S52" i="1"/>
  <c r="Z51" i="1"/>
  <c r="U51" i="1"/>
  <c r="V51" i="1" s="1"/>
  <c r="Y51" i="1"/>
  <c r="W51" i="1"/>
  <c r="AC50" i="1"/>
  <c r="AG50" i="1"/>
  <c r="AB50" i="1"/>
  <c r="AF50" i="1"/>
  <c r="AH50" i="1"/>
  <c r="AD50" i="1"/>
  <c r="AG51" i="1" l="1"/>
  <c r="AC51" i="1"/>
  <c r="AF51" i="1"/>
  <c r="AB51" i="1"/>
  <c r="AD51" i="1"/>
  <c r="AH51" i="1"/>
  <c r="AA51" i="1"/>
  <c r="AE51" i="1"/>
  <c r="Z52" i="1"/>
  <c r="X52" i="1"/>
  <c r="W52" i="1"/>
  <c r="S53" i="1"/>
  <c r="U52" i="1"/>
  <c r="V52" i="1" s="1"/>
  <c r="T52" i="1"/>
  <c r="Y52" i="1"/>
  <c r="AA52" i="1" l="1"/>
  <c r="AE52" i="1"/>
  <c r="AB52" i="1"/>
  <c r="AF52" i="1"/>
  <c r="X53" i="1"/>
  <c r="T53" i="1"/>
  <c r="S54" i="1"/>
  <c r="Z53" i="1"/>
  <c r="U53" i="1"/>
  <c r="V53" i="1" s="1"/>
  <c r="Y53" i="1"/>
  <c r="W53" i="1"/>
  <c r="AC52" i="1"/>
  <c r="AG52" i="1"/>
  <c r="AH52" i="1"/>
  <c r="AD52" i="1"/>
  <c r="AD53" i="1" l="1"/>
  <c r="AH53" i="1"/>
  <c r="AA53" i="1"/>
  <c r="AE53" i="1"/>
  <c r="AG53" i="1"/>
  <c r="AC53" i="1"/>
  <c r="Z54" i="1"/>
  <c r="X54" i="1"/>
  <c r="W54" i="1"/>
  <c r="S55" i="1"/>
  <c r="U54" i="1"/>
  <c r="V54" i="1" s="1"/>
  <c r="T54" i="1"/>
  <c r="Y54" i="1"/>
  <c r="AF53" i="1"/>
  <c r="AB53" i="1"/>
  <c r="AC54" i="1" l="1"/>
  <c r="AG54" i="1"/>
  <c r="AB54" i="1"/>
  <c r="AF54" i="1"/>
  <c r="AH54" i="1"/>
  <c r="AD54" i="1"/>
  <c r="X55" i="1"/>
  <c r="T55" i="1"/>
  <c r="S56" i="1"/>
  <c r="Z55" i="1"/>
  <c r="U55" i="1"/>
  <c r="V55" i="1" s="1"/>
  <c r="Y55" i="1"/>
  <c r="W55" i="1"/>
  <c r="AA54" i="1"/>
  <c r="AE54" i="1"/>
  <c r="AG55" i="1" l="1"/>
  <c r="AC55" i="1"/>
  <c r="AD55" i="1"/>
  <c r="AH55" i="1"/>
  <c r="AF55" i="1"/>
  <c r="AB55" i="1"/>
  <c r="AA55" i="1"/>
  <c r="AE55" i="1"/>
  <c r="Z56" i="1"/>
  <c r="X56" i="1"/>
  <c r="W56" i="1"/>
  <c r="S57" i="1"/>
  <c r="U56" i="1"/>
  <c r="V56" i="1" s="1"/>
  <c r="T56" i="1"/>
  <c r="Y56" i="1"/>
  <c r="S58" i="1" l="1"/>
  <c r="X57" i="1"/>
  <c r="T57" i="1"/>
  <c r="Z57" i="1"/>
  <c r="U57" i="1"/>
  <c r="V57" i="1" s="1"/>
  <c r="Y57" i="1"/>
  <c r="W57" i="1"/>
  <c r="AC56" i="1"/>
  <c r="AG56" i="1"/>
  <c r="AA56" i="1"/>
  <c r="AE56" i="1"/>
  <c r="AB56" i="1"/>
  <c r="AF56" i="1"/>
  <c r="AH56" i="1"/>
  <c r="AD56" i="1"/>
  <c r="AH57" i="1" l="1"/>
  <c r="AD57" i="1"/>
  <c r="AA57" i="1"/>
  <c r="AE57" i="1"/>
  <c r="AG57" i="1"/>
  <c r="AC57" i="1"/>
  <c r="AF57" i="1"/>
  <c r="AB57" i="1"/>
  <c r="W58" i="1"/>
  <c r="Y58" i="1"/>
  <c r="T58" i="1"/>
  <c r="U58" i="1"/>
  <c r="V58" i="1" s="1"/>
  <c r="Z58" i="1"/>
  <c r="X58" i="1"/>
  <c r="S59" i="1"/>
  <c r="Z59" i="1" l="1"/>
  <c r="S60" i="1"/>
  <c r="Y59" i="1"/>
  <c r="U59" i="1"/>
  <c r="V59" i="1" s="1"/>
  <c r="X59" i="1"/>
  <c r="W59" i="1"/>
  <c r="T59" i="1"/>
  <c r="AF58" i="1"/>
  <c r="AB58" i="1"/>
  <c r="AC58" i="1"/>
  <c r="AG58" i="1"/>
  <c r="AD58" i="1"/>
  <c r="AH58" i="1"/>
  <c r="AE58" i="1"/>
  <c r="AA58" i="1"/>
  <c r="AG59" i="1" l="1"/>
  <c r="AC59" i="1"/>
  <c r="AA59" i="1"/>
  <c r="AE59" i="1"/>
  <c r="X60" i="1"/>
  <c r="T60" i="1"/>
  <c r="W60" i="1"/>
  <c r="Z60" i="1"/>
  <c r="Y60" i="1"/>
  <c r="S61" i="1"/>
  <c r="U60" i="1"/>
  <c r="V60" i="1" s="1"/>
  <c r="AF59" i="1"/>
  <c r="AB59" i="1"/>
  <c r="AH59" i="1"/>
  <c r="AD59" i="1"/>
  <c r="AD60" i="1" l="1"/>
  <c r="AH60" i="1"/>
  <c r="AE60" i="1"/>
  <c r="AA60" i="1"/>
  <c r="Z61" i="1"/>
  <c r="S62" i="1"/>
  <c r="Y61" i="1"/>
  <c r="U61" i="1"/>
  <c r="V61" i="1" s="1"/>
  <c r="X61" i="1"/>
  <c r="W61" i="1"/>
  <c r="T61" i="1"/>
  <c r="AC60" i="1"/>
  <c r="AG60" i="1"/>
  <c r="AF60" i="1"/>
  <c r="AB60" i="1"/>
  <c r="AG61" i="1" l="1"/>
  <c r="AC61" i="1"/>
  <c r="AA61" i="1"/>
  <c r="AE61" i="1"/>
  <c r="X62" i="1"/>
  <c r="T62" i="1"/>
  <c r="W62" i="1"/>
  <c r="Z62" i="1"/>
  <c r="Y62" i="1"/>
  <c r="S63" i="1"/>
  <c r="U62" i="1"/>
  <c r="V62" i="1" s="1"/>
  <c r="AF61" i="1"/>
  <c r="AB61" i="1"/>
  <c r="AH61" i="1"/>
  <c r="AD61" i="1"/>
  <c r="AD62" i="1" l="1"/>
  <c r="AH62" i="1"/>
  <c r="AE62" i="1"/>
  <c r="AA62" i="1"/>
  <c r="Z63" i="1"/>
  <c r="S64" i="1"/>
  <c r="Y63" i="1"/>
  <c r="U63" i="1"/>
  <c r="V63" i="1" s="1"/>
  <c r="X63" i="1"/>
  <c r="W63" i="1"/>
  <c r="T63" i="1"/>
  <c r="AC62" i="1"/>
  <c r="AG62" i="1"/>
  <c r="AF62" i="1"/>
  <c r="AB62" i="1"/>
  <c r="AA63" i="1" l="1"/>
  <c r="AE63" i="1"/>
  <c r="X64" i="1"/>
  <c r="T64" i="1"/>
  <c r="W64" i="1"/>
  <c r="Z64" i="1"/>
  <c r="Y64" i="1"/>
  <c r="U64" i="1"/>
  <c r="V64" i="1" s="1"/>
  <c r="S65" i="1"/>
  <c r="AG63" i="1"/>
  <c r="AC63" i="1"/>
  <c r="AF63" i="1"/>
  <c r="AB63" i="1"/>
  <c r="AH63" i="1"/>
  <c r="AD63" i="1"/>
  <c r="AF64" i="1" l="1"/>
  <c r="AB64" i="1"/>
  <c r="AD64" i="1"/>
  <c r="AH64" i="1"/>
  <c r="AC64" i="1"/>
  <c r="AG64" i="1"/>
  <c r="Z65" i="1"/>
  <c r="S66" i="1"/>
  <c r="Y65" i="1"/>
  <c r="U65" i="1"/>
  <c r="V65" i="1" s="1"/>
  <c r="X65" i="1"/>
  <c r="W65" i="1"/>
  <c r="T65" i="1"/>
  <c r="AE64" i="1"/>
  <c r="AA64" i="1"/>
  <c r="X66" i="1" l="1"/>
  <c r="T66" i="1"/>
  <c r="W66" i="1"/>
  <c r="Z66" i="1"/>
  <c r="Y66" i="1"/>
  <c r="U66" i="1"/>
  <c r="V66" i="1" s="1"/>
  <c r="S67" i="1"/>
  <c r="AF65" i="1"/>
  <c r="AB65" i="1"/>
  <c r="AH65" i="1"/>
  <c r="AD65" i="1"/>
  <c r="AA65" i="1"/>
  <c r="AE65" i="1"/>
  <c r="AG65" i="1"/>
  <c r="AC65" i="1"/>
  <c r="Z67" i="1" l="1"/>
  <c r="S68" i="1"/>
  <c r="Y67" i="1"/>
  <c r="U67" i="1"/>
  <c r="V67" i="1" s="1"/>
  <c r="X67" i="1"/>
  <c r="W67" i="1"/>
  <c r="T67" i="1"/>
  <c r="AE66" i="1"/>
  <c r="AA66" i="1"/>
  <c r="AD66" i="1"/>
  <c r="AH66" i="1"/>
  <c r="AC66" i="1"/>
  <c r="AG66" i="1"/>
  <c r="AF66" i="1"/>
  <c r="AB66" i="1"/>
  <c r="AG67" i="1" l="1"/>
  <c r="AC67" i="1"/>
  <c r="AA67" i="1"/>
  <c r="AE67" i="1"/>
  <c r="X68" i="1"/>
  <c r="T68" i="1"/>
  <c r="W68" i="1"/>
  <c r="Z68" i="1"/>
  <c r="Y68" i="1"/>
  <c r="S69" i="1"/>
  <c r="U68" i="1"/>
  <c r="V68" i="1" s="1"/>
  <c r="AF67" i="1"/>
  <c r="AB67" i="1"/>
  <c r="AH67" i="1"/>
  <c r="AD67" i="1"/>
  <c r="AD68" i="1" l="1"/>
  <c r="AH68" i="1"/>
  <c r="AE68" i="1"/>
  <c r="AA68" i="1"/>
  <c r="Z69" i="1"/>
  <c r="S70" i="1"/>
  <c r="Y69" i="1"/>
  <c r="U69" i="1"/>
  <c r="V69" i="1" s="1"/>
  <c r="X69" i="1"/>
  <c r="W69" i="1"/>
  <c r="T69" i="1"/>
  <c r="AC68" i="1"/>
  <c r="AG68" i="1"/>
  <c r="AF68" i="1"/>
  <c r="AB68" i="1"/>
  <c r="AG69" i="1" l="1"/>
  <c r="AC69" i="1"/>
  <c r="AA69" i="1"/>
  <c r="AE69" i="1"/>
  <c r="X70" i="1"/>
  <c r="T70" i="1"/>
  <c r="W70" i="1"/>
  <c r="Z70" i="1"/>
  <c r="Y70" i="1"/>
  <c r="S71" i="1"/>
  <c r="U70" i="1"/>
  <c r="V70" i="1" s="1"/>
  <c r="AF69" i="1"/>
  <c r="AB69" i="1"/>
  <c r="AH69" i="1"/>
  <c r="AD69" i="1"/>
  <c r="AD70" i="1" l="1"/>
  <c r="AH70" i="1"/>
  <c r="AE70" i="1"/>
  <c r="AA70" i="1"/>
  <c r="Z71" i="1"/>
  <c r="S72" i="1"/>
  <c r="Y71" i="1"/>
  <c r="U71" i="1"/>
  <c r="V71" i="1" s="1"/>
  <c r="X71" i="1"/>
  <c r="W71" i="1"/>
  <c r="T71" i="1"/>
  <c r="AC70" i="1"/>
  <c r="AG70" i="1"/>
  <c r="AF70" i="1"/>
  <c r="AB70" i="1"/>
  <c r="X72" i="1" l="1"/>
  <c r="T72" i="1"/>
  <c r="W72" i="1"/>
  <c r="Z72" i="1"/>
  <c r="Y72" i="1"/>
  <c r="S73" i="1"/>
  <c r="U72" i="1"/>
  <c r="V72" i="1" s="1"/>
  <c r="AG71" i="1"/>
  <c r="AC71" i="1"/>
  <c r="AA71" i="1"/>
  <c r="AE71" i="1"/>
  <c r="AF71" i="1"/>
  <c r="AB71" i="1"/>
  <c r="AH71" i="1"/>
  <c r="AD71" i="1"/>
  <c r="AE72" i="1" l="1"/>
  <c r="AA72" i="1"/>
  <c r="Z73" i="1"/>
  <c r="S74" i="1"/>
  <c r="Y73" i="1"/>
  <c r="U73" i="1"/>
  <c r="V73" i="1" s="1"/>
  <c r="X73" i="1"/>
  <c r="W73" i="1"/>
  <c r="T73" i="1"/>
  <c r="AD72" i="1"/>
  <c r="AH72" i="1"/>
  <c r="AC72" i="1"/>
  <c r="AG72" i="1"/>
  <c r="AF72" i="1"/>
  <c r="AB72" i="1"/>
  <c r="AA73" i="1" l="1"/>
  <c r="AE73" i="1"/>
  <c r="X74" i="1"/>
  <c r="T74" i="1"/>
  <c r="W74" i="1"/>
  <c r="Z74" i="1"/>
  <c r="Y74" i="1"/>
  <c r="U74" i="1"/>
  <c r="V74" i="1" s="1"/>
  <c r="S75" i="1"/>
  <c r="AF73" i="1"/>
  <c r="AB73" i="1"/>
  <c r="AH73" i="1"/>
  <c r="AD73" i="1"/>
  <c r="AG73" i="1"/>
  <c r="AC73" i="1"/>
  <c r="AC74" i="1" l="1"/>
  <c r="AG74" i="1"/>
  <c r="AF74" i="1"/>
  <c r="AB74" i="1"/>
  <c r="AD74" i="1"/>
  <c r="AH74" i="1"/>
  <c r="Z75" i="1"/>
  <c r="S76" i="1"/>
  <c r="Y75" i="1"/>
  <c r="U75" i="1"/>
  <c r="V75" i="1" s="1"/>
  <c r="X75" i="1"/>
  <c r="W75" i="1"/>
  <c r="T75" i="1"/>
  <c r="AE74" i="1"/>
  <c r="AA74" i="1"/>
  <c r="X76" i="1" l="1"/>
  <c r="T76" i="1"/>
  <c r="W76" i="1"/>
  <c r="Z76" i="1"/>
  <c r="Y76" i="1"/>
  <c r="S77" i="1"/>
  <c r="U76" i="1"/>
  <c r="V76" i="1" s="1"/>
  <c r="AF75" i="1"/>
  <c r="AB75" i="1"/>
  <c r="AH75" i="1"/>
  <c r="AD75" i="1"/>
  <c r="AA75" i="1"/>
  <c r="AE75" i="1"/>
  <c r="AG75" i="1"/>
  <c r="AC75" i="1"/>
  <c r="Z77" i="1" l="1"/>
  <c r="S78" i="1"/>
  <c r="Y77" i="1"/>
  <c r="U77" i="1"/>
  <c r="V77" i="1" s="1"/>
  <c r="X77" i="1"/>
  <c r="W77" i="1"/>
  <c r="T77" i="1"/>
  <c r="AD76" i="1"/>
  <c r="AH76" i="1"/>
  <c r="AE76" i="1"/>
  <c r="AA76" i="1"/>
  <c r="AC76" i="1"/>
  <c r="AG76" i="1"/>
  <c r="AF76" i="1"/>
  <c r="AB76" i="1"/>
  <c r="AG77" i="1" l="1"/>
  <c r="AC77" i="1"/>
  <c r="AA77" i="1"/>
  <c r="AE77" i="1"/>
  <c r="X78" i="1"/>
  <c r="T78" i="1"/>
  <c r="W78" i="1"/>
  <c r="Z78" i="1"/>
  <c r="Y78" i="1"/>
  <c r="S79" i="1"/>
  <c r="U78" i="1"/>
  <c r="V78" i="1" s="1"/>
  <c r="AF77" i="1"/>
  <c r="AB77" i="1"/>
  <c r="AH77" i="1"/>
  <c r="AD77" i="1"/>
  <c r="AD78" i="1" l="1"/>
  <c r="AH78" i="1"/>
  <c r="AE78" i="1"/>
  <c r="AA78" i="1"/>
  <c r="Z79" i="1"/>
  <c r="S80" i="1"/>
  <c r="Y79" i="1"/>
  <c r="U79" i="1"/>
  <c r="V79" i="1" s="1"/>
  <c r="X79" i="1"/>
  <c r="W79" i="1"/>
  <c r="T79" i="1"/>
  <c r="AC78" i="1"/>
  <c r="AG78" i="1"/>
  <c r="AF78" i="1"/>
  <c r="AB78" i="1"/>
  <c r="AG79" i="1" l="1"/>
  <c r="AC79" i="1"/>
  <c r="AA79" i="1"/>
  <c r="AE79" i="1"/>
  <c r="X80" i="1"/>
  <c r="T80" i="1"/>
  <c r="W80" i="1"/>
  <c r="Z80" i="1"/>
  <c r="Y80" i="1"/>
  <c r="S81" i="1"/>
  <c r="U80" i="1"/>
  <c r="V80" i="1" s="1"/>
  <c r="AF79" i="1"/>
  <c r="AB79" i="1"/>
  <c r="AH79" i="1"/>
  <c r="AD79" i="1"/>
  <c r="AD80" i="1" l="1"/>
  <c r="AH80" i="1"/>
  <c r="AE80" i="1"/>
  <c r="AA80" i="1"/>
  <c r="Z81" i="1"/>
  <c r="S82" i="1"/>
  <c r="Y81" i="1"/>
  <c r="U81" i="1"/>
  <c r="V81" i="1" s="1"/>
  <c r="X81" i="1"/>
  <c r="W81" i="1"/>
  <c r="T81" i="1"/>
  <c r="AC80" i="1"/>
  <c r="AG80" i="1"/>
  <c r="AF80" i="1"/>
  <c r="AB80" i="1"/>
  <c r="AA81" i="1" l="1"/>
  <c r="AE81" i="1"/>
  <c r="AG81" i="1"/>
  <c r="AC81" i="1"/>
  <c r="X82" i="1"/>
  <c r="T82" i="1"/>
  <c r="W82" i="1"/>
  <c r="Z82" i="1"/>
  <c r="Y82" i="1"/>
  <c r="S83" i="1"/>
  <c r="U82" i="1"/>
  <c r="V82" i="1" s="1"/>
  <c r="AF81" i="1"/>
  <c r="AB81" i="1"/>
  <c r="AH81" i="1"/>
  <c r="AD81" i="1"/>
  <c r="Z83" i="1" l="1"/>
  <c r="S84" i="1"/>
  <c r="Y83" i="1"/>
  <c r="U83" i="1"/>
  <c r="V83" i="1" s="1"/>
  <c r="X83" i="1"/>
  <c r="W83" i="1"/>
  <c r="T83" i="1"/>
  <c r="AD82" i="1"/>
  <c r="AH82" i="1"/>
  <c r="AE82" i="1"/>
  <c r="AA82" i="1"/>
  <c r="AC82" i="1"/>
  <c r="AG82" i="1"/>
  <c r="AF82" i="1"/>
  <c r="AB82" i="1"/>
  <c r="AG83" i="1" l="1"/>
  <c r="AC83" i="1"/>
  <c r="AA83" i="1"/>
  <c r="AE83" i="1"/>
  <c r="X84" i="1"/>
  <c r="T84" i="1"/>
  <c r="W84" i="1"/>
  <c r="Z84" i="1"/>
  <c r="Y84" i="1"/>
  <c r="U84" i="1"/>
  <c r="V84" i="1" s="1"/>
  <c r="S85" i="1"/>
  <c r="AF83" i="1"/>
  <c r="AB83" i="1"/>
  <c r="AH83" i="1"/>
  <c r="AD83" i="1"/>
  <c r="AD84" i="1" l="1"/>
  <c r="AH84" i="1"/>
  <c r="Z85" i="1"/>
  <c r="S86" i="1"/>
  <c r="Y85" i="1"/>
  <c r="U85" i="1"/>
  <c r="V85" i="1" s="1"/>
  <c r="X85" i="1"/>
  <c r="W85" i="1"/>
  <c r="T85" i="1"/>
  <c r="AE84" i="1"/>
  <c r="AA84" i="1"/>
  <c r="AC84" i="1"/>
  <c r="AG84" i="1"/>
  <c r="AF84" i="1"/>
  <c r="AB84" i="1"/>
  <c r="X86" i="1" l="1"/>
  <c r="T86" i="1"/>
  <c r="W86" i="1"/>
  <c r="Z86" i="1"/>
  <c r="Y86" i="1"/>
  <c r="S87" i="1"/>
  <c r="U86" i="1"/>
  <c r="V86" i="1" s="1"/>
  <c r="AF85" i="1"/>
  <c r="AB85" i="1"/>
  <c r="AH85" i="1"/>
  <c r="AD85" i="1"/>
  <c r="AA85" i="1"/>
  <c r="AE85" i="1"/>
  <c r="AG85" i="1"/>
  <c r="AC85" i="1"/>
  <c r="AE86" i="1" l="1"/>
  <c r="AA86" i="1"/>
  <c r="Z87" i="1"/>
  <c r="S88" i="1"/>
  <c r="Y87" i="1"/>
  <c r="U87" i="1"/>
  <c r="V87" i="1" s="1"/>
  <c r="X87" i="1"/>
  <c r="W87" i="1"/>
  <c r="T87" i="1"/>
  <c r="AD86" i="1"/>
  <c r="AH86" i="1"/>
  <c r="AC86" i="1"/>
  <c r="AG86" i="1"/>
  <c r="AF86" i="1"/>
  <c r="AB86" i="1"/>
  <c r="AA87" i="1" l="1"/>
  <c r="AE87" i="1"/>
  <c r="AF87" i="1"/>
  <c r="AB87" i="1"/>
  <c r="X88" i="1"/>
  <c r="T88" i="1"/>
  <c r="W88" i="1"/>
  <c r="Z88" i="1"/>
  <c r="Y88" i="1"/>
  <c r="S89" i="1"/>
  <c r="U88" i="1"/>
  <c r="V88" i="1" s="1"/>
  <c r="AH87" i="1"/>
  <c r="AD87" i="1"/>
  <c r="AG87" i="1"/>
  <c r="AC87" i="1"/>
  <c r="AD88" i="1" l="1"/>
  <c r="AH88" i="1"/>
  <c r="AE88" i="1"/>
  <c r="AA88" i="1"/>
  <c r="S90" i="1"/>
  <c r="Y89" i="1"/>
  <c r="U89" i="1"/>
  <c r="V89" i="1" s="1"/>
  <c r="W89" i="1"/>
  <c r="Z89" i="1"/>
  <c r="X89" i="1"/>
  <c r="T89" i="1"/>
  <c r="AC88" i="1"/>
  <c r="AG88" i="1"/>
  <c r="AF88" i="1"/>
  <c r="AB88" i="1"/>
  <c r="AA89" i="1" l="1"/>
  <c r="AE89" i="1"/>
  <c r="AB89" i="1"/>
  <c r="AF89" i="1"/>
  <c r="AG89" i="1"/>
  <c r="AC89" i="1"/>
  <c r="AH89" i="1"/>
  <c r="AD89" i="1"/>
  <c r="W90" i="1"/>
  <c r="Z90" i="1"/>
  <c r="U90" i="1"/>
  <c r="V90" i="1" s="1"/>
  <c r="Y90" i="1"/>
  <c r="T90" i="1"/>
  <c r="S91" i="1"/>
  <c r="X90" i="1"/>
  <c r="AC90" i="1" l="1"/>
  <c r="AG90" i="1"/>
  <c r="AF90" i="1"/>
  <c r="AB90" i="1"/>
  <c r="S92" i="1"/>
  <c r="Y91" i="1"/>
  <c r="U91" i="1"/>
  <c r="V91" i="1" s="1"/>
  <c r="W91" i="1"/>
  <c r="Z91" i="1"/>
  <c r="T91" i="1"/>
  <c r="X91" i="1"/>
  <c r="AD90" i="1"/>
  <c r="AH90" i="1"/>
  <c r="AE90" i="1"/>
  <c r="AA90" i="1"/>
  <c r="AH91" i="1" l="1"/>
  <c r="AD91" i="1"/>
  <c r="AA91" i="1"/>
  <c r="AE91" i="1"/>
  <c r="AB91" i="1"/>
  <c r="AF91" i="1"/>
  <c r="AG91" i="1"/>
  <c r="AC91" i="1"/>
  <c r="S93" i="1"/>
  <c r="Y92" i="1"/>
  <c r="U92" i="1"/>
  <c r="V92" i="1" s="1"/>
  <c r="W92" i="1"/>
  <c r="T92" i="1"/>
  <c r="Z92" i="1"/>
  <c r="X92" i="1"/>
  <c r="AE92" i="1" l="1"/>
  <c r="AA92" i="1"/>
  <c r="AB92" i="1"/>
  <c r="AF92" i="1"/>
  <c r="AD92" i="1"/>
  <c r="AH92" i="1"/>
  <c r="AG92" i="1"/>
  <c r="AC92" i="1"/>
  <c r="W93" i="1"/>
  <c r="S94" i="1"/>
  <c r="Y93" i="1"/>
  <c r="U93" i="1"/>
  <c r="V93" i="1" s="1"/>
  <c r="Z93" i="1"/>
  <c r="X93" i="1"/>
  <c r="T93" i="1"/>
  <c r="AG93" i="1" l="1"/>
  <c r="AC93" i="1"/>
  <c r="AF93" i="1"/>
  <c r="AB93" i="1"/>
  <c r="S95" i="1"/>
  <c r="Y94" i="1"/>
  <c r="U94" i="1"/>
  <c r="V94" i="1" s="1"/>
  <c r="W94" i="1"/>
  <c r="T94" i="1"/>
  <c r="X94" i="1"/>
  <c r="Z94" i="1"/>
  <c r="AH93" i="1"/>
  <c r="AD93" i="1"/>
  <c r="AE93" i="1"/>
  <c r="AA93" i="1"/>
  <c r="AE94" i="1" l="1"/>
  <c r="AA94" i="1"/>
  <c r="AD94" i="1"/>
  <c r="AH94" i="1"/>
  <c r="AB94" i="1"/>
  <c r="AF94" i="1"/>
  <c r="AG94" i="1"/>
  <c r="AC94" i="1"/>
  <c r="W95" i="1"/>
  <c r="S96" i="1"/>
  <c r="Y95" i="1"/>
  <c r="U95" i="1"/>
  <c r="V95" i="1" s="1"/>
  <c r="Z95" i="1"/>
  <c r="X95" i="1"/>
  <c r="T95" i="1"/>
  <c r="AG95" i="1" l="1"/>
  <c r="AC95" i="1"/>
  <c r="S97" i="1"/>
  <c r="Y96" i="1"/>
  <c r="U96" i="1"/>
  <c r="V96" i="1" s="1"/>
  <c r="W96" i="1"/>
  <c r="T96" i="1"/>
  <c r="Z96" i="1"/>
  <c r="X96" i="1"/>
  <c r="AF95" i="1"/>
  <c r="AB95" i="1"/>
  <c r="AH95" i="1"/>
  <c r="AD95" i="1"/>
  <c r="AE95" i="1"/>
  <c r="AA95" i="1"/>
  <c r="AG96" i="1" l="1"/>
  <c r="AC96" i="1"/>
  <c r="AE96" i="1"/>
  <c r="AA96" i="1"/>
  <c r="AD96" i="1"/>
  <c r="AH96" i="1"/>
  <c r="W97" i="1"/>
  <c r="S98" i="1"/>
  <c r="Y97" i="1"/>
  <c r="U97" i="1"/>
  <c r="V97" i="1" s="1"/>
  <c r="Z97" i="1"/>
  <c r="X97" i="1"/>
  <c r="T97" i="1"/>
  <c r="AB96" i="1"/>
  <c r="AF96" i="1"/>
  <c r="AF97" i="1" l="1"/>
  <c r="AB97" i="1"/>
  <c r="AH97" i="1"/>
  <c r="AD97" i="1"/>
  <c r="S99" i="1"/>
  <c r="Y98" i="1"/>
  <c r="U98" i="1"/>
  <c r="V98" i="1" s="1"/>
  <c r="X98" i="1"/>
  <c r="T98" i="1"/>
  <c r="W98" i="1"/>
  <c r="Z98" i="1"/>
  <c r="AE97" i="1"/>
  <c r="AA97" i="1"/>
  <c r="AG97" i="1"/>
  <c r="AC97" i="1"/>
  <c r="AF98" i="1" l="1"/>
  <c r="AB98" i="1"/>
  <c r="AG98" i="1"/>
  <c r="AC98" i="1"/>
  <c r="AD98" i="1"/>
  <c r="AH98" i="1"/>
  <c r="AE98" i="1"/>
  <c r="AA98" i="1"/>
  <c r="W99" i="1"/>
  <c r="Z99" i="1"/>
  <c r="S100" i="1"/>
  <c r="Y99" i="1"/>
  <c r="U99" i="1"/>
  <c r="V99" i="1" s="1"/>
  <c r="T99" i="1"/>
  <c r="X99" i="1"/>
  <c r="AF99" i="1" l="1"/>
  <c r="AB99" i="1"/>
  <c r="AH99" i="1"/>
  <c r="AD99" i="1"/>
  <c r="AG99" i="1"/>
  <c r="AC99" i="1"/>
  <c r="S101" i="1"/>
  <c r="Y100" i="1"/>
  <c r="U100" i="1"/>
  <c r="V100" i="1" s="1"/>
  <c r="X100" i="1"/>
  <c r="T100" i="1"/>
  <c r="W100" i="1"/>
  <c r="Z100" i="1"/>
  <c r="AE99" i="1"/>
  <c r="AA99" i="1"/>
  <c r="AE100" i="1" l="1"/>
  <c r="AA100" i="1"/>
  <c r="AG100" i="1"/>
  <c r="AC100" i="1"/>
  <c r="AF100" i="1"/>
  <c r="AB100" i="1"/>
  <c r="W101" i="1"/>
  <c r="Z101" i="1"/>
  <c r="S102" i="1"/>
  <c r="Y101" i="1"/>
  <c r="U101" i="1"/>
  <c r="V101" i="1" s="1"/>
  <c r="T101" i="1"/>
  <c r="X101" i="1"/>
  <c r="AD100" i="1"/>
  <c r="AH100" i="1"/>
  <c r="AH101" i="1" l="1"/>
  <c r="AD101" i="1"/>
  <c r="AG101" i="1"/>
  <c r="AC101" i="1"/>
  <c r="AE101" i="1"/>
  <c r="AA101" i="1"/>
  <c r="AF101" i="1"/>
  <c r="AB101" i="1"/>
  <c r="S103" i="1"/>
  <c r="Y102" i="1"/>
  <c r="U102" i="1"/>
  <c r="V102" i="1" s="1"/>
  <c r="X102" i="1"/>
  <c r="T102" i="1"/>
  <c r="W102" i="1"/>
  <c r="Z102" i="1"/>
  <c r="AF102" i="1" l="1"/>
  <c r="AB102" i="1"/>
  <c r="AD102" i="1"/>
  <c r="AH102" i="1"/>
  <c r="AG102" i="1"/>
  <c r="AC102" i="1"/>
  <c r="AE102" i="1"/>
  <c r="AA102" i="1"/>
  <c r="W103" i="1"/>
  <c r="Z103" i="1"/>
  <c r="S104" i="1"/>
  <c r="Y103" i="1"/>
  <c r="U103" i="1"/>
  <c r="V103" i="1" s="1"/>
  <c r="T103" i="1"/>
  <c r="X103" i="1"/>
  <c r="AG103" i="1" l="1"/>
  <c r="AC103" i="1"/>
  <c r="S105" i="1"/>
  <c r="Y104" i="1"/>
  <c r="U104" i="1"/>
  <c r="V104" i="1" s="1"/>
  <c r="X104" i="1"/>
  <c r="T104" i="1"/>
  <c r="W104" i="1"/>
  <c r="Z104" i="1"/>
  <c r="AH103" i="1"/>
  <c r="AD103" i="1"/>
  <c r="AF103" i="1"/>
  <c r="AB103" i="1"/>
  <c r="AE103" i="1"/>
  <c r="AA103" i="1"/>
  <c r="AE104" i="1" l="1"/>
  <c r="AA104" i="1"/>
  <c r="AF104" i="1"/>
  <c r="AB104" i="1"/>
  <c r="AG104" i="1"/>
  <c r="AC104" i="1"/>
  <c r="W105" i="1"/>
  <c r="Z105" i="1"/>
  <c r="S106" i="1"/>
  <c r="Y105" i="1"/>
  <c r="U105" i="1"/>
  <c r="V105" i="1" s="1"/>
  <c r="T105" i="1"/>
  <c r="X105" i="1"/>
  <c r="AD104" i="1"/>
  <c r="AH104" i="1"/>
  <c r="AE105" i="1" l="1"/>
  <c r="AA105" i="1"/>
  <c r="AG105" i="1"/>
  <c r="AC105" i="1"/>
  <c r="AH105" i="1"/>
  <c r="AD105" i="1"/>
  <c r="AF105" i="1"/>
  <c r="AB105" i="1"/>
  <c r="S107" i="1"/>
  <c r="Y106" i="1"/>
  <c r="U106" i="1"/>
  <c r="V106" i="1" s="1"/>
  <c r="X106" i="1"/>
  <c r="T106" i="1"/>
  <c r="W106" i="1"/>
  <c r="Z106" i="1"/>
  <c r="AF106" i="1" l="1"/>
  <c r="AB106" i="1"/>
  <c r="AD106" i="1"/>
  <c r="AH106" i="1"/>
  <c r="AE106" i="1"/>
  <c r="AA106" i="1"/>
  <c r="AG106" i="1"/>
  <c r="AC106" i="1"/>
  <c r="W107" i="1"/>
  <c r="Z107" i="1"/>
  <c r="S108" i="1"/>
  <c r="Y107" i="1"/>
  <c r="U107" i="1"/>
  <c r="V107" i="1" s="1"/>
  <c r="T107" i="1"/>
  <c r="X107" i="1"/>
  <c r="AG107" i="1" l="1"/>
  <c r="AC107" i="1"/>
  <c r="AF107" i="1"/>
  <c r="AB107" i="1"/>
  <c r="S109" i="1"/>
  <c r="Y108" i="1"/>
  <c r="U108" i="1"/>
  <c r="V108" i="1" s="1"/>
  <c r="X108" i="1"/>
  <c r="T108" i="1"/>
  <c r="W108" i="1"/>
  <c r="Z108" i="1"/>
  <c r="AH107" i="1"/>
  <c r="AD107" i="1"/>
  <c r="AE107" i="1"/>
  <c r="AA107" i="1"/>
  <c r="AF108" i="1" l="1"/>
  <c r="AB108" i="1"/>
  <c r="AD108" i="1"/>
  <c r="AH108" i="1"/>
  <c r="AE108" i="1"/>
  <c r="AA108" i="1"/>
  <c r="AG108" i="1"/>
  <c r="AC108" i="1"/>
  <c r="W109" i="1"/>
  <c r="Z109" i="1"/>
  <c r="S110" i="1"/>
  <c r="Y109" i="1"/>
  <c r="U109" i="1"/>
  <c r="V109" i="1" s="1"/>
  <c r="T109" i="1"/>
  <c r="X109" i="1"/>
  <c r="S111" i="1" l="1"/>
  <c r="Y110" i="1"/>
  <c r="U110" i="1"/>
  <c r="V110" i="1" s="1"/>
  <c r="X110" i="1"/>
  <c r="T110" i="1"/>
  <c r="W110" i="1"/>
  <c r="Z110" i="1"/>
  <c r="AF109" i="1"/>
  <c r="AB109" i="1"/>
  <c r="AH109" i="1"/>
  <c r="AD109" i="1"/>
  <c r="AG109" i="1"/>
  <c r="AC109" i="1"/>
  <c r="AE109" i="1"/>
  <c r="AA109" i="1"/>
  <c r="AD110" i="1" l="1"/>
  <c r="AH110" i="1"/>
  <c r="AE110" i="1"/>
  <c r="AA110" i="1"/>
  <c r="AG110" i="1"/>
  <c r="AC110" i="1"/>
  <c r="AF110" i="1"/>
  <c r="AB110" i="1"/>
  <c r="W111" i="1"/>
  <c r="Z111" i="1"/>
  <c r="S112" i="1"/>
  <c r="Y111" i="1"/>
  <c r="U111" i="1"/>
  <c r="V111" i="1" s="1"/>
  <c r="T111" i="1"/>
  <c r="X111" i="1"/>
  <c r="AG111" i="1" l="1"/>
  <c r="AC111" i="1"/>
  <c r="S113" i="1"/>
  <c r="Y112" i="1"/>
  <c r="U112" i="1"/>
  <c r="V112" i="1" s="1"/>
  <c r="X112" i="1"/>
  <c r="T112" i="1"/>
  <c r="W112" i="1"/>
  <c r="Z112" i="1"/>
  <c r="AF111" i="1"/>
  <c r="AB111" i="1"/>
  <c r="AH111" i="1"/>
  <c r="AD111" i="1"/>
  <c r="AE111" i="1"/>
  <c r="AA111" i="1"/>
  <c r="AE112" i="1" l="1"/>
  <c r="AA112" i="1"/>
  <c r="W113" i="1"/>
  <c r="Z113" i="1"/>
  <c r="S114" i="1"/>
  <c r="Y113" i="1"/>
  <c r="U113" i="1"/>
  <c r="V113" i="1" s="1"/>
  <c r="T113" i="1"/>
  <c r="X113" i="1"/>
  <c r="AF112" i="1"/>
  <c r="AB112" i="1"/>
  <c r="AG112" i="1"/>
  <c r="AC112" i="1"/>
  <c r="AD112" i="1"/>
  <c r="AH112" i="1"/>
  <c r="AE113" i="1" l="1"/>
  <c r="AA113" i="1"/>
  <c r="AH113" i="1"/>
  <c r="AD113" i="1"/>
  <c r="AG113" i="1"/>
  <c r="AC113" i="1"/>
  <c r="AF113" i="1"/>
  <c r="AB113" i="1"/>
  <c r="S115" i="1"/>
  <c r="Y114" i="1"/>
  <c r="Z114" i="1"/>
  <c r="U114" i="1"/>
  <c r="V114" i="1" s="1"/>
  <c r="X114" i="1"/>
  <c r="T114" i="1"/>
  <c r="W114" i="1"/>
  <c r="AE114" i="1" l="1"/>
  <c r="AA114" i="1"/>
  <c r="AD114" i="1"/>
  <c r="AH114" i="1"/>
  <c r="AG114" i="1"/>
  <c r="AC114" i="1"/>
  <c r="AB114" i="1"/>
  <c r="AF114" i="1"/>
  <c r="S116" i="1"/>
  <c r="Y115" i="1"/>
  <c r="U115" i="1"/>
  <c r="V115" i="1" s="1"/>
  <c r="X115" i="1"/>
  <c r="W115" i="1"/>
  <c r="Z115" i="1"/>
  <c r="T115" i="1"/>
  <c r="AF115" i="1" l="1"/>
  <c r="AB115" i="1"/>
  <c r="AD115" i="1"/>
  <c r="AH115" i="1"/>
  <c r="AG115" i="1"/>
  <c r="AC115" i="1"/>
  <c r="AE115" i="1"/>
  <c r="AA115" i="1"/>
  <c r="W116" i="1"/>
  <c r="Z116" i="1"/>
  <c r="S117" i="1"/>
  <c r="Y116" i="1"/>
  <c r="U116" i="1"/>
  <c r="V116" i="1" s="1"/>
  <c r="T116" i="1"/>
  <c r="X116" i="1"/>
  <c r="S118" i="1" l="1"/>
  <c r="Y117" i="1"/>
  <c r="U117" i="1"/>
  <c r="V117" i="1" s="1"/>
  <c r="X117" i="1"/>
  <c r="T117" i="1"/>
  <c r="W117" i="1"/>
  <c r="Z117" i="1"/>
  <c r="AG116" i="1"/>
  <c r="AC116" i="1"/>
  <c r="AF116" i="1"/>
  <c r="AB116" i="1"/>
  <c r="AH116" i="1"/>
  <c r="AD116" i="1"/>
  <c r="AE116" i="1"/>
  <c r="AA116" i="1"/>
  <c r="AD117" i="1" l="1"/>
  <c r="AH117" i="1"/>
  <c r="AF117" i="1"/>
  <c r="AB117" i="1"/>
  <c r="AE117" i="1"/>
  <c r="AA117" i="1"/>
  <c r="AG117" i="1"/>
  <c r="AC117" i="1"/>
  <c r="W118" i="1"/>
  <c r="Z118" i="1"/>
  <c r="S119" i="1"/>
  <c r="Y118" i="1"/>
  <c r="U118" i="1"/>
  <c r="V118" i="1" s="1"/>
  <c r="T118" i="1"/>
  <c r="X118" i="1"/>
  <c r="S120" i="1" l="1"/>
  <c r="Y119" i="1"/>
  <c r="U119" i="1"/>
  <c r="V119" i="1" s="1"/>
  <c r="X119" i="1"/>
  <c r="T119" i="1"/>
  <c r="W119" i="1"/>
  <c r="Z119" i="1"/>
  <c r="AF118" i="1"/>
  <c r="AB118" i="1"/>
  <c r="AH118" i="1"/>
  <c r="AD118" i="1"/>
  <c r="AG118" i="1"/>
  <c r="AC118" i="1"/>
  <c r="AE118" i="1"/>
  <c r="AA118" i="1"/>
  <c r="AD119" i="1" l="1"/>
  <c r="AH119" i="1"/>
  <c r="AF119" i="1"/>
  <c r="AB119" i="1"/>
  <c r="AE119" i="1"/>
  <c r="AA119" i="1"/>
  <c r="AG119" i="1"/>
  <c r="AC119" i="1"/>
  <c r="W120" i="1"/>
  <c r="Z120" i="1"/>
  <c r="S121" i="1"/>
  <c r="Y120" i="1"/>
  <c r="U120" i="1"/>
  <c r="V120" i="1" s="1"/>
  <c r="T120" i="1"/>
  <c r="X120" i="1"/>
  <c r="AG120" i="1" l="1"/>
  <c r="AC120" i="1"/>
  <c r="S122" i="1"/>
  <c r="Y121" i="1"/>
  <c r="U121" i="1"/>
  <c r="V121" i="1" s="1"/>
  <c r="X121" i="1"/>
  <c r="T121" i="1"/>
  <c r="W121" i="1"/>
  <c r="Z121" i="1"/>
  <c r="AF120" i="1"/>
  <c r="AB120" i="1"/>
  <c r="AH120" i="1"/>
  <c r="AD120" i="1"/>
  <c r="AE120" i="1"/>
  <c r="AA120" i="1"/>
  <c r="AE121" i="1" l="1"/>
  <c r="AA121" i="1"/>
  <c r="W122" i="1"/>
  <c r="Z122" i="1"/>
  <c r="S123" i="1"/>
  <c r="Y122" i="1"/>
  <c r="U122" i="1"/>
  <c r="V122" i="1" s="1"/>
  <c r="T122" i="1"/>
  <c r="X122" i="1"/>
  <c r="AF121" i="1"/>
  <c r="AB121" i="1"/>
  <c r="AG121" i="1"/>
  <c r="AC121" i="1"/>
  <c r="AD121" i="1"/>
  <c r="AH121" i="1"/>
  <c r="AE122" i="1" l="1"/>
  <c r="AA122" i="1"/>
  <c r="AG122" i="1"/>
  <c r="AC122" i="1"/>
  <c r="AH122" i="1"/>
  <c r="AD122" i="1"/>
  <c r="AF122" i="1"/>
  <c r="AB122" i="1"/>
  <c r="S124" i="1"/>
  <c r="Y123" i="1"/>
  <c r="U123" i="1"/>
  <c r="V123" i="1" s="1"/>
  <c r="X123" i="1"/>
  <c r="T123" i="1"/>
  <c r="W123" i="1"/>
  <c r="Z123" i="1"/>
  <c r="AF123" i="1" l="1"/>
  <c r="AB123" i="1"/>
  <c r="AD123" i="1"/>
  <c r="AH123" i="1"/>
  <c r="AE123" i="1"/>
  <c r="AA123" i="1"/>
  <c r="AG123" i="1"/>
  <c r="AC123" i="1"/>
  <c r="W124" i="1"/>
  <c r="Z124" i="1"/>
  <c r="S125" i="1"/>
  <c r="Y124" i="1"/>
  <c r="U124" i="1"/>
  <c r="V124" i="1" s="1"/>
  <c r="T124" i="1"/>
  <c r="X124" i="1"/>
  <c r="Y125" i="1" l="1"/>
  <c r="U125" i="1"/>
  <c r="V125" i="1" s="1"/>
  <c r="S126" i="1"/>
  <c r="X125" i="1"/>
  <c r="T125" i="1"/>
  <c r="W125" i="1"/>
  <c r="Z125" i="1"/>
  <c r="AG124" i="1"/>
  <c r="AC124" i="1"/>
  <c r="AF124" i="1"/>
  <c r="AB124" i="1"/>
  <c r="AH124" i="1"/>
  <c r="AD124" i="1"/>
  <c r="AE124" i="1"/>
  <c r="AA124" i="1"/>
  <c r="AH125" i="1" l="1"/>
  <c r="AD125" i="1"/>
  <c r="Z126" i="1"/>
  <c r="Y126" i="1"/>
  <c r="T126" i="1"/>
  <c r="X126" i="1"/>
  <c r="W126" i="1"/>
  <c r="S127" i="1"/>
  <c r="U126" i="1"/>
  <c r="V126" i="1" s="1"/>
  <c r="AE125" i="1"/>
  <c r="AA125" i="1"/>
  <c r="AF125" i="1"/>
  <c r="AB125" i="1"/>
  <c r="AC125" i="1"/>
  <c r="AG125" i="1"/>
  <c r="AE126" i="1" l="1"/>
  <c r="AA126" i="1"/>
  <c r="AH126" i="1"/>
  <c r="AD126" i="1"/>
  <c r="AB126" i="1"/>
  <c r="AF126" i="1"/>
  <c r="X127" i="1"/>
  <c r="T127" i="1"/>
  <c r="W127" i="1"/>
  <c r="S128" i="1"/>
  <c r="Z127" i="1"/>
  <c r="U127" i="1"/>
  <c r="V127" i="1" s="1"/>
  <c r="Y127" i="1"/>
  <c r="AC126" i="1"/>
  <c r="AG126" i="1"/>
  <c r="AH127" i="1" l="1"/>
  <c r="AD127" i="1"/>
  <c r="AF127" i="1"/>
  <c r="AB127" i="1"/>
  <c r="Z128" i="1"/>
  <c r="Y128" i="1"/>
  <c r="T128" i="1"/>
  <c r="X128" i="1"/>
  <c r="W128" i="1"/>
  <c r="S129" i="1"/>
  <c r="U128" i="1"/>
  <c r="V128" i="1" s="1"/>
  <c r="AC127" i="1"/>
  <c r="AG127" i="1"/>
  <c r="AA127" i="1"/>
  <c r="AE127" i="1"/>
  <c r="AB128" i="1" l="1"/>
  <c r="AF128" i="1"/>
  <c r="AC128" i="1"/>
  <c r="AG128" i="1"/>
  <c r="X129" i="1"/>
  <c r="T129" i="1"/>
  <c r="W129" i="1"/>
  <c r="S130" i="1"/>
  <c r="Z129" i="1"/>
  <c r="U129" i="1"/>
  <c r="V129" i="1" s="1"/>
  <c r="Y129" i="1"/>
  <c r="AE128" i="1"/>
  <c r="AA128" i="1"/>
  <c r="AH128" i="1"/>
  <c r="AD128" i="1"/>
  <c r="Z130" i="1" l="1"/>
  <c r="Y130" i="1"/>
  <c r="T130" i="1"/>
  <c r="X130" i="1"/>
  <c r="W130" i="1"/>
  <c r="S131" i="1"/>
  <c r="U130" i="1"/>
  <c r="V130" i="1" s="1"/>
  <c r="AA129" i="1"/>
  <c r="AE129" i="1"/>
  <c r="AC129" i="1"/>
  <c r="AG129" i="1"/>
  <c r="AH129" i="1"/>
  <c r="AD129" i="1"/>
  <c r="AF129" i="1"/>
  <c r="AB129" i="1"/>
  <c r="AB130" i="1" l="1"/>
  <c r="AF130" i="1"/>
  <c r="X131" i="1"/>
  <c r="T131" i="1"/>
  <c r="W131" i="1"/>
  <c r="Z131" i="1"/>
  <c r="U131" i="1"/>
  <c r="V131" i="1" s="1"/>
  <c r="S132" i="1"/>
  <c r="Y131" i="1"/>
  <c r="AC130" i="1"/>
  <c r="AG130" i="1"/>
  <c r="AE130" i="1"/>
  <c r="AA130" i="1"/>
  <c r="AH130" i="1"/>
  <c r="AD130" i="1"/>
  <c r="AF131" i="1" l="1"/>
  <c r="AB131" i="1"/>
  <c r="AD131" i="1"/>
  <c r="AH131" i="1"/>
  <c r="Z132" i="1"/>
  <c r="S133" i="1"/>
  <c r="Y132" i="1"/>
  <c r="U132" i="1"/>
  <c r="V132" i="1" s="1"/>
  <c r="X132" i="1"/>
  <c r="W132" i="1"/>
  <c r="T132" i="1"/>
  <c r="AC131" i="1"/>
  <c r="AG131" i="1"/>
  <c r="AE131" i="1"/>
  <c r="AA131" i="1"/>
  <c r="AG132" i="1" l="1"/>
  <c r="AC132" i="1"/>
  <c r="X133" i="1"/>
  <c r="T133" i="1"/>
  <c r="W133" i="1"/>
  <c r="U133" i="1"/>
  <c r="V133" i="1" s="1"/>
  <c r="Z133" i="1"/>
  <c r="Y133" i="1"/>
  <c r="S134" i="1"/>
  <c r="AE132" i="1"/>
  <c r="AA132" i="1"/>
  <c r="AF132" i="1"/>
  <c r="AB132" i="1"/>
  <c r="AH132" i="1"/>
  <c r="AD132" i="1"/>
  <c r="AC133" i="1" l="1"/>
  <c r="AG133" i="1"/>
  <c r="AD133" i="1"/>
  <c r="AH133" i="1"/>
  <c r="AF133" i="1"/>
  <c r="AB133" i="1"/>
  <c r="Z134" i="1"/>
  <c r="S135" i="1"/>
  <c r="Y134" i="1"/>
  <c r="U134" i="1"/>
  <c r="V134" i="1" s="1"/>
  <c r="X134" i="1"/>
  <c r="W134" i="1"/>
  <c r="T134" i="1"/>
  <c r="AE133" i="1"/>
  <c r="AA133" i="1"/>
  <c r="X135" i="1" l="1"/>
  <c r="T135" i="1"/>
  <c r="W135" i="1"/>
  <c r="U135" i="1"/>
  <c r="V135" i="1" s="1"/>
  <c r="Z135" i="1"/>
  <c r="Y135" i="1"/>
  <c r="S136" i="1"/>
  <c r="AF134" i="1"/>
  <c r="AB134" i="1"/>
  <c r="AH134" i="1"/>
  <c r="AD134" i="1"/>
  <c r="AE134" i="1"/>
  <c r="AA134" i="1"/>
  <c r="AG134" i="1"/>
  <c r="AC134" i="1"/>
  <c r="Z136" i="1" l="1"/>
  <c r="S137" i="1"/>
  <c r="Y136" i="1"/>
  <c r="U136" i="1"/>
  <c r="V136" i="1" s="1"/>
  <c r="X136" i="1"/>
  <c r="W136" i="1"/>
  <c r="T136" i="1"/>
  <c r="AE135" i="1"/>
  <c r="AA135" i="1"/>
  <c r="AC135" i="1"/>
  <c r="AG135" i="1"/>
  <c r="AD135" i="1"/>
  <c r="AH135" i="1"/>
  <c r="AF135" i="1"/>
  <c r="AB135" i="1"/>
  <c r="AG136" i="1" l="1"/>
  <c r="AC136" i="1"/>
  <c r="X137" i="1"/>
  <c r="T137" i="1"/>
  <c r="W137" i="1"/>
  <c r="Z137" i="1"/>
  <c r="Y137" i="1"/>
  <c r="U137" i="1"/>
  <c r="V137" i="1" s="1"/>
  <c r="S138" i="1"/>
  <c r="AE136" i="1"/>
  <c r="AA136" i="1"/>
  <c r="AF136" i="1"/>
  <c r="AB136" i="1"/>
  <c r="AH136" i="1"/>
  <c r="AD136" i="1"/>
  <c r="AG137" i="1" l="1"/>
  <c r="AC137" i="1"/>
  <c r="AF137" i="1"/>
  <c r="AB137" i="1"/>
  <c r="AH137" i="1"/>
  <c r="AD137" i="1"/>
  <c r="Z138" i="1"/>
  <c r="S139" i="1"/>
  <c r="Y138" i="1"/>
  <c r="U138" i="1"/>
  <c r="V138" i="1" s="1"/>
  <c r="X138" i="1"/>
  <c r="T138" i="1"/>
  <c r="W138" i="1"/>
  <c r="AE137" i="1"/>
  <c r="AA137" i="1"/>
  <c r="X139" i="1" l="1"/>
  <c r="T139" i="1"/>
  <c r="W139" i="1"/>
  <c r="Z139" i="1"/>
  <c r="Y139" i="1"/>
  <c r="U139" i="1"/>
  <c r="V139" i="1" s="1"/>
  <c r="S140" i="1"/>
  <c r="AF138" i="1"/>
  <c r="AB138" i="1"/>
  <c r="AH138" i="1"/>
  <c r="AD138" i="1"/>
  <c r="AE138" i="1"/>
  <c r="AA138" i="1"/>
  <c r="AG138" i="1"/>
  <c r="AC138" i="1"/>
  <c r="AH139" i="1" l="1"/>
  <c r="AD139" i="1"/>
  <c r="Z140" i="1"/>
  <c r="S141" i="1"/>
  <c r="Y140" i="1"/>
  <c r="U140" i="1"/>
  <c r="V140" i="1" s="1"/>
  <c r="X140" i="1"/>
  <c r="T140" i="1"/>
  <c r="W140" i="1"/>
  <c r="AE139" i="1"/>
  <c r="AA139" i="1"/>
  <c r="AG139" i="1"/>
  <c r="AC139" i="1"/>
  <c r="AF139" i="1"/>
  <c r="AB139" i="1"/>
  <c r="X141" i="1" l="1"/>
  <c r="T141" i="1"/>
  <c r="W141" i="1"/>
  <c r="Z141" i="1"/>
  <c r="Y141" i="1"/>
  <c r="U141" i="1"/>
  <c r="V141" i="1" s="1"/>
  <c r="S142" i="1"/>
  <c r="AF140" i="1"/>
  <c r="AB140" i="1"/>
  <c r="AH140" i="1"/>
  <c r="AD140" i="1"/>
  <c r="AE140" i="1"/>
  <c r="AA140" i="1"/>
  <c r="AG140" i="1"/>
  <c r="AC140" i="1"/>
  <c r="Z142" i="1" l="1"/>
  <c r="S143" i="1"/>
  <c r="Y142" i="1"/>
  <c r="U142" i="1"/>
  <c r="V142" i="1" s="1"/>
  <c r="X142" i="1"/>
  <c r="T142" i="1"/>
  <c r="W142" i="1"/>
  <c r="AE141" i="1"/>
  <c r="AA141" i="1"/>
  <c r="AH141" i="1"/>
  <c r="AD141" i="1"/>
  <c r="AG141" i="1"/>
  <c r="AC141" i="1"/>
  <c r="AF141" i="1"/>
  <c r="AB141" i="1"/>
  <c r="AE142" i="1" l="1"/>
  <c r="AA142" i="1"/>
  <c r="AG142" i="1"/>
  <c r="AC142" i="1"/>
  <c r="X143" i="1"/>
  <c r="T143" i="1"/>
  <c r="W143" i="1"/>
  <c r="Z143" i="1"/>
  <c r="Y143" i="1"/>
  <c r="U143" i="1"/>
  <c r="V143" i="1" s="1"/>
  <c r="S144" i="1"/>
  <c r="AF142" i="1"/>
  <c r="AB142" i="1"/>
  <c r="AH142" i="1"/>
  <c r="AD142" i="1"/>
  <c r="Z144" i="1" l="1"/>
  <c r="S145" i="1"/>
  <c r="Y144" i="1"/>
  <c r="U144" i="1"/>
  <c r="V144" i="1" s="1"/>
  <c r="X144" i="1"/>
  <c r="T144" i="1"/>
  <c r="W144" i="1"/>
  <c r="AE143" i="1"/>
  <c r="AA143" i="1"/>
  <c r="AH143" i="1"/>
  <c r="AD143" i="1"/>
  <c r="AG143" i="1"/>
  <c r="AC143" i="1"/>
  <c r="AF143" i="1"/>
  <c r="AB143" i="1"/>
  <c r="AE144" i="1" l="1"/>
  <c r="AA144" i="1"/>
  <c r="AG144" i="1"/>
  <c r="AC144" i="1"/>
  <c r="X145" i="1"/>
  <c r="T145" i="1"/>
  <c r="W145" i="1"/>
  <c r="Z145" i="1"/>
  <c r="Y145" i="1"/>
  <c r="U145" i="1"/>
  <c r="V145" i="1" s="1"/>
  <c r="S146" i="1"/>
  <c r="AF144" i="1"/>
  <c r="AB144" i="1"/>
  <c r="AH144" i="1"/>
  <c r="AD144" i="1"/>
  <c r="Z146" i="1" l="1"/>
  <c r="Y146" i="1"/>
  <c r="U146" i="1"/>
  <c r="V146" i="1" s="1"/>
  <c r="X146" i="1"/>
  <c r="T146" i="1"/>
  <c r="W146" i="1"/>
  <c r="AE145" i="1"/>
  <c r="AA145" i="1"/>
  <c r="AH145" i="1"/>
  <c r="AD145" i="1"/>
  <c r="AG145" i="1"/>
  <c r="AC145" i="1"/>
  <c r="AF145" i="1"/>
  <c r="AB145" i="1"/>
  <c r="AE146" i="1" l="1"/>
  <c r="AA146" i="1"/>
  <c r="AG146" i="1"/>
  <c r="AC146" i="1"/>
  <c r="AF146" i="1"/>
  <c r="AB146" i="1"/>
  <c r="AH146" i="1"/>
  <c r="AD146" i="1"/>
</calcChain>
</file>

<file path=xl/sharedStrings.xml><?xml version="1.0" encoding="utf-8"?>
<sst xmlns="http://schemas.openxmlformats.org/spreadsheetml/2006/main" count="4463" uniqueCount="1960">
  <si>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</si>
  <si>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</si>
  <si>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</si>
  <si>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</si>
  <si>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</si>
  <si>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</si>
  <si>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</si>
  <si>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</si>
  <si>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</si>
  <si>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</si>
  <si>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</si>
  <si>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</si>
  <si>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</si>
  <si>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</si>
  <si>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</si>
  <si>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</si>
  <si>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</si>
  <si>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</si>
  <si>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</si>
  <si>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</si>
  <si>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</si>
  <si>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</si>
  <si>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</si>
  <si>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</si>
  <si>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</si>
  <si>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</si>
  <si>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</si>
  <si>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</si>
  <si>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</si>
  <si>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</si>
  <si>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</si>
  <si>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</si>
  <si>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</si>
  <si>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</si>
  <si>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</si>
  <si>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</si>
  <si>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</si>
  <si>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</si>
  <si>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</si>
  <si>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</si>
  <si>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</si>
  <si>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</si>
  <si>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</si>
  <si>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</si>
  <si>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</si>
  <si>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</si>
  <si>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</si>
  <si>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</si>
  <si>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</si>
  <si>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</si>
  <si>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</si>
  <si>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</si>
  <si>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</si>
  <si>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</si>
  <si>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</si>
  <si>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</si>
  <si>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</si>
  <si>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</si>
  <si>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</si>
  <si>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</si>
  <si>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</si>
  <si>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</si>
  <si>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</si>
  <si>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</si>
  <si>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</si>
  <si>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</si>
  <si>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</si>
  <si>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</si>
  <si>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</si>
  <si>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</si>
  <si>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</si>
  <si>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</si>
  <si>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</si>
  <si>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</si>
  <si>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</si>
  <si>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</si>
  <si>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</si>
  <si>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</si>
  <si>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</si>
  <si>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</si>
  <si>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</si>
  <si>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</si>
  <si>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</si>
  <si>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</si>
  <si>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</si>
  <si>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</si>
  <si>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</si>
  <si>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</si>
  <si>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</si>
  <si>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</si>
  <si>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</si>
  <si>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</si>
  <si>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</si>
  <si>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</si>
  <si>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</si>
  <si>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</si>
  <si>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</si>
  <si>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</si>
  <si>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</si>
  <si>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</si>
  <si>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</si>
  <si>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</si>
  <si>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</si>
  <si>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</si>
  <si>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</si>
  <si>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</si>
  <si>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</si>
  <si>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</si>
  <si>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</si>
  <si>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</si>
  <si>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</si>
  <si>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</si>
  <si>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</si>
  <si>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</si>
  <si>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</si>
  <si>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</si>
  <si>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</si>
  <si>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</si>
  <si>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</si>
  <si>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</si>
  <si>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</si>
  <si>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</si>
  <si>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</si>
  <si>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</si>
  <si>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</si>
  <si>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</si>
  <si>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</si>
  <si>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</si>
  <si>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</si>
  <si>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</si>
  <si>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</si>
  <si>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</si>
  <si>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</si>
  <si>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</si>
  <si>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</si>
  <si>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</si>
  <si>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</si>
  <si>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</si>
  <si>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</si>
  <si>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</si>
  <si>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</si>
  <si>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</si>
  <si>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</si>
  <si>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</si>
  <si>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</si>
  <si>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</si>
  <si>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</si>
  <si>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</si>
  <si>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</si>
  <si>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</si>
  <si>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</si>
  <si>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</si>
  <si>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</si>
  <si>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</si>
  <si>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</si>
  <si>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</si>
  <si>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</si>
  <si>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</si>
  <si>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</si>
  <si>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</si>
  <si>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</si>
  <si>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</si>
  <si>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</si>
  <si>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</si>
  <si>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</si>
  <si>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</si>
  <si>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</si>
  <si>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</si>
  <si>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</si>
  <si>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</si>
  <si>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</si>
  <si>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</si>
  <si>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</si>
  <si>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</si>
  <si>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</si>
  <si>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</si>
  <si>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</si>
  <si>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</si>
  <si>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</si>
  <si>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</si>
  <si>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</si>
  <si>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</si>
  <si>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</si>
  <si>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</si>
  <si>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</si>
  <si>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</si>
  <si>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</si>
  <si>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</si>
  <si>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</si>
  <si>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</si>
  <si>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</si>
  <si>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</si>
  <si>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</si>
  <si>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</si>
  <si>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</si>
  <si>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</si>
  <si>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</si>
  <si>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</si>
  <si>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</si>
  <si>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</si>
  <si>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</si>
  <si>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</si>
  <si>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</si>
  <si>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</si>
  <si>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</si>
  <si>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</si>
  <si>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</si>
  <si>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</si>
  <si>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</si>
  <si>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</si>
  <si>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</si>
  <si>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</si>
  <si>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</si>
  <si>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</si>
  <si>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</si>
  <si>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</si>
  <si>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</si>
  <si>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</si>
  <si>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</si>
  <si>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</si>
  <si>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</si>
  <si>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</si>
  <si>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</si>
  <si>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</si>
  <si>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</si>
  <si>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</si>
  <si>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</si>
  <si>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</si>
  <si>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</si>
  <si>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</si>
  <si>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</si>
  <si>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 Buffer 0 Readable IRQ Enable</t>
  </si>
  <si>
    <t>rx_irq_control_reg</t>
  </si>
  <si>
    <t>t_ftdi_rx_irq_control_wr_reg</t>
  </si>
  <si>
    <t>rx_buffer_0_rdable_irq_en</t>
  </si>
  <si>
    <t>FtdiRxIrqControl</t>
  </si>
  <si>
    <t>bRxBuff0RdableIrqEn</t>
  </si>
  <si>
    <t>Rx Buffer 1 Readable IRQ Enable</t>
  </si>
  <si>
    <t>rx_buffer_1_rdable_irq_en</t>
  </si>
  <si>
    <t>bRxBuff1RdableIrqEn</t>
  </si>
  <si>
    <t>Rx Last Buffer Readable IRQ Enable</t>
  </si>
  <si>
    <t>rx_buffer_last_rdable_irq_en</t>
  </si>
  <si>
    <t>bRxBuffLastRdableIrqEn</t>
  </si>
  <si>
    <t>Rx Last Buffer Empty IRQ Enable</t>
  </si>
  <si>
    <t>rx_buffer_last_empty_irq_en</t>
  </si>
  <si>
    <t>bRxBuffLastEmptyIrqEn</t>
  </si>
  <si>
    <t>Rx Communication Error IRQ Enable</t>
  </si>
  <si>
    <t>rx_comm_err_irq_en</t>
  </si>
  <si>
    <t>bRxCommErrIrqEn</t>
  </si>
  <si>
    <t>FTDI Rx IRQ Flag Register</t>
  </si>
  <si>
    <t>Rx Buffer 0 Readable IRQ Flag</t>
  </si>
  <si>
    <t>t_ftdi_config_rd_registers</t>
  </si>
  <si>
    <t>rx_irq_flag_reg</t>
  </si>
  <si>
    <t>t_ftdi_rx_irq_flag_rd_reg</t>
  </si>
  <si>
    <t>rx_buffer_0_rdable_irq_flag</t>
  </si>
  <si>
    <t>FtdiRxIrqFlag</t>
  </si>
  <si>
    <t>bRxBuff0RdableIrqFlag</t>
  </si>
  <si>
    <t>Rx Buffer 1 Readable IRQ Flag</t>
  </si>
  <si>
    <t>rx_buffer_1_rdable_irq_flag</t>
  </si>
  <si>
    <t>bRxBuff1RdableIrqFlag</t>
  </si>
  <si>
    <t>Rx Last Buffer Readable IRQ Flag</t>
  </si>
  <si>
    <t>rx_buffer_last_rdable_irq_flag</t>
  </si>
  <si>
    <t>bRxBuffLastRdableIrqFlag</t>
  </si>
  <si>
    <t>Rx Last Buffer Empty IRQ Flag</t>
  </si>
  <si>
    <t>rx_buffer_last_empty_irq_flag</t>
  </si>
  <si>
    <t>bRxBuffLastEmptyIrqFlag</t>
  </si>
  <si>
    <t>Rx Communication Error IRQ Flag</t>
  </si>
  <si>
    <t>rx_comm_err_irq_flag</t>
  </si>
  <si>
    <t>bRxCommErrIrqFlag</t>
  </si>
  <si>
    <t>FTDI Rx IRQ Flag Clear Register</t>
  </si>
  <si>
    <t>Rx Buffer 0 Readable IRQ Flag Clear</t>
  </si>
  <si>
    <t>rx_irq_flag_clear_reg</t>
  </si>
  <si>
    <t>t_ftdi_rx_irq_flag_clear_wr_reg</t>
  </si>
  <si>
    <t>rx_buffer_0_rdable_irq_flag_clr</t>
  </si>
  <si>
    <t>FtdiRxIrqFlagClr</t>
  </si>
  <si>
    <t>bRxBuff0RdableIrqFlagClr</t>
  </si>
  <si>
    <t>Rx Buffer 1 Readable IRQ Flag Clear</t>
  </si>
  <si>
    <t>rx_buffer_1_rdable_irq_flag_clr</t>
  </si>
  <si>
    <t>bRxBuff1RdableIrqFlagClr</t>
  </si>
  <si>
    <t>Rx Last Buffer Readable IRQ Flag Clear</t>
  </si>
  <si>
    <t>rx_buffer_last_rdable_irq_flag_clr</t>
  </si>
  <si>
    <t>bRxBuffLastRdableIrqFlagClr</t>
  </si>
  <si>
    <t>Rx Last Buffer Empty IRQ Flag Clear</t>
  </si>
  <si>
    <t>rx_buffer_last_empty_irq_flag_clr</t>
  </si>
  <si>
    <t>bRxBuffLastEmptyIrqFlagClr</t>
  </si>
  <si>
    <t>Rx Communication Error IRQ Flag Clear</t>
  </si>
  <si>
    <t>rx_comm_err_irq_flag_clr</t>
  </si>
  <si>
    <t>bRxCommErrIrqFlagClr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</si>
  <si>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</si>
  <si>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</si>
  <si>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</si>
  <si>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</si>
  <si>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</si>
  <si>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</si>
  <si>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</si>
  <si>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</si>
  <si>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</si>
  <si>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</si>
  <si>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</si>
  <si>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</si>
  <si>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</si>
  <si>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Enable Module USB Loopback</t>
  </si>
  <si>
    <t>ftdi_module_loopback_en</t>
  </si>
  <si>
    <t>bModuleLoopbackEn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</si>
  <si>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</si>
  <si>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</si>
  <si>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</si>
  <si>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</si>
  <si>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</si>
  <si>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</si>
  <si>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</si>
  <si>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</si>
  <si>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</si>
  <si>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</si>
  <si>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</si>
  <si>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</si>
  <si>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</si>
  <si>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</si>
  <si>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</si>
  <si>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</si>
  <si>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</si>
  <si>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</si>
  <si>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</si>
  <si>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</si>
  <si>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</si>
  <si>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</si>
  <si>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</si>
  <si>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</si>
  <si>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</si>
  <si>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</si>
  <si>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</si>
  <si>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</si>
  <si>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</si>
  <si>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</si>
  <si>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</si>
  <si>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</si>
  <si>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</si>
  <si>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</si>
  <si>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</si>
  <si>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</si>
  <si>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</si>
  <si>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</si>
  <si>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</si>
  <si>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</si>
  <si>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</si>
  <si>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</si>
  <si>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</si>
  <si>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</si>
  <si>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</si>
  <si>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</si>
  <si>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</si>
  <si>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</si>
  <si>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</si>
  <si>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</si>
  <si>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</si>
  <si>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</si>
  <si>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</si>
  <si>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</si>
  <si>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</si>
  <si>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</si>
  <si>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</si>
  <si>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</si>
  <si>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</si>
  <si>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</si>
  <si>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 Buffer 0 Readable</t>
  </si>
  <si>
    <t>rx_buffer_status_reg</t>
  </si>
  <si>
    <t>t_ftdi_rx_buffer_status_rd_reg</t>
  </si>
  <si>
    <t>rx_buffer_0_rdable</t>
  </si>
  <si>
    <t>FtdiRxBufferStatus</t>
  </si>
  <si>
    <t>bRxBuff0Rdable</t>
  </si>
  <si>
    <t>Rx Buffer 0 Empty</t>
  </si>
  <si>
    <t>rx_buffer_0_empty</t>
  </si>
  <si>
    <t>bRxBuff0Empty</t>
  </si>
  <si>
    <t>Rx Buffer 0 Used [Bytes]</t>
  </si>
  <si>
    <t>rx_buffer_0_used_bytes</t>
  </si>
  <si>
    <t>usiRxBuff0UsedBytes</t>
  </si>
  <si>
    <t>Rx Buffer 0 Full</t>
  </si>
  <si>
    <t>rx_buffer_0_full</t>
  </si>
  <si>
    <t>bRxBuff0Full</t>
  </si>
  <si>
    <t>Rx Buffer 1 Readable</t>
  </si>
  <si>
    <t>rx_buffer_1_rdable</t>
  </si>
  <si>
    <t>bRxBuff1Rdable</t>
  </si>
  <si>
    <t>Rx Buffer 1 Empty</t>
  </si>
  <si>
    <t>rx_buffer_1_empty</t>
  </si>
  <si>
    <t>bRxBuff1Empty</t>
  </si>
  <si>
    <t>Rx Buffer 1 Used [Bytes]</t>
  </si>
  <si>
    <t>rx_buffer_1_used_bytes</t>
  </si>
  <si>
    <t>usiRxBuff1UsedBytes</t>
  </si>
  <si>
    <t>Rx Buffer 1 Full</t>
  </si>
  <si>
    <t>rx_buffer_1_full</t>
  </si>
  <si>
    <t>bRxBuff1Full</t>
  </si>
  <si>
    <t>Rx Double Buffer Readable</t>
  </si>
  <si>
    <t>rx_dbuffer_rdable</t>
  </si>
  <si>
    <t>bRxDbuffRdable</t>
  </si>
  <si>
    <t>Rx Double Buffer Empty</t>
  </si>
  <si>
    <t>rx_dbuffer_empty</t>
  </si>
  <si>
    <t>bRxDbuffEmpty</t>
  </si>
  <si>
    <t>Rx Double Buffer Used [Bytes]</t>
  </si>
  <si>
    <t>rx_dbuffer_used_bytes</t>
  </si>
  <si>
    <t>usiRxDbuffUsedBytes</t>
  </si>
  <si>
    <t>Rx Double Buffer Full</t>
  </si>
  <si>
    <t>rx_dbuffer_full</t>
  </si>
  <si>
    <t>bRxDbuffFull</t>
  </si>
  <si>
    <t>FTDI Tx Buffer Status Register</t>
  </si>
  <si>
    <t>Tx Buffer 0 Writeable</t>
  </si>
  <si>
    <t>tx_buffer_status_reg</t>
  </si>
  <si>
    <t>t_ftdi_tx_buffer_status_rd_reg</t>
  </si>
  <si>
    <t>tx_buffer_0_wrable</t>
  </si>
  <si>
    <t>FtdiTxBufferStatus</t>
  </si>
  <si>
    <t>bTxBuff0Wrable</t>
  </si>
  <si>
    <t>Tx Buffer 0 Empty</t>
  </si>
  <si>
    <t>tx_buffer_0_empty</t>
  </si>
  <si>
    <t>bTxBuff0Empty</t>
  </si>
  <si>
    <t>Tx Buffer 0 Space [Bytes]</t>
  </si>
  <si>
    <t>tx_buffer_0_space_bytes</t>
  </si>
  <si>
    <t>usiTxBuff0SpaceBytes</t>
  </si>
  <si>
    <t>Tx Buffer 0 Full</t>
  </si>
  <si>
    <t>tx_buffer_0_full</t>
  </si>
  <si>
    <t>bTxBuff0Full</t>
  </si>
  <si>
    <t>Tx Buffer 1 Writeable</t>
  </si>
  <si>
    <t>tx_buffer_1_wrable</t>
  </si>
  <si>
    <t>bTxBuff1Wrable</t>
  </si>
  <si>
    <t>Tx Buffer 1 Empty</t>
  </si>
  <si>
    <t>tx_buffer_1_empty</t>
  </si>
  <si>
    <t>bTxBuff1Empty</t>
  </si>
  <si>
    <t>Tx Buffer 1 Space [Bytes]</t>
  </si>
  <si>
    <t>tx_buffer_1_space_bytes</t>
  </si>
  <si>
    <t>usiTxBuff1SpaceBytes</t>
  </si>
  <si>
    <t>Tx Buffer 1 Full</t>
  </si>
  <si>
    <t>tx_buffer_1_full</t>
  </si>
  <si>
    <t>bTxBuff1Full</t>
  </si>
  <si>
    <t>Tx Double Buffer Writeable</t>
  </si>
  <si>
    <t>tx_dbuffer_wrable</t>
  </si>
  <si>
    <t>bTxDbuffWrable</t>
  </si>
  <si>
    <t>Tx Double Buffer Empty</t>
  </si>
  <si>
    <t>tx_dbuffer_empty</t>
  </si>
  <si>
    <t>bTxDbuffEmpty</t>
  </si>
  <si>
    <t>Tx Double Buffer Space [Bytes]</t>
  </si>
  <si>
    <t>tx_dbuffer_space_bytes</t>
  </si>
  <si>
    <t>usiTxDbuffSpaceBytes</t>
  </si>
  <si>
    <t>Tx Double Buffer Full</t>
  </si>
  <si>
    <t>tx_dbuffer_full</t>
  </si>
  <si>
    <t>bTxDbuffFull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</si>
  <si>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</si>
  <si>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</si>
  <si>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</si>
  <si>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</si>
  <si>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</si>
  <si>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</si>
  <si>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</si>
  <si>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</si>
  <si>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</si>
  <si>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</si>
  <si>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</si>
  <si>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</si>
  <si>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</si>
  <si>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</si>
  <si>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</si>
  <si>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</si>
  <si>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</si>
  <si>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</si>
  <si>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</si>
  <si>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</si>
  <si>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</si>
  <si>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</si>
  <si>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</si>
  <si>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</si>
  <si>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</si>
  <si>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</si>
  <si>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</si>
  <si>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</si>
  <si>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</si>
  <si>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</si>
  <si>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</si>
  <si>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</si>
  <si>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</si>
  <si>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</si>
  <si>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</si>
  <si>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</si>
  <si>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</si>
  <si>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</si>
  <si>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</si>
  <si>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</si>
  <si>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</si>
  <si>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</si>
  <si>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</si>
  <si>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</si>
  <si>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</si>
  <si>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</si>
  <si>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</si>
  <si>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</si>
  <si>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</si>
  <si>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</si>
  <si>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</si>
  <si>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</si>
  <si>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</si>
  <si>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</si>
  <si>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</si>
  <si>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</si>
  <si>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</si>
  <si>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</si>
  <si>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</si>
  <si>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</si>
  <si>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</si>
  <si>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</si>
  <si>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</si>
  <si>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</si>
  <si>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</si>
  <si>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</si>
  <si>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</si>
  <si>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</si>
  <si>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</si>
  <si>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</si>
  <si>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</si>
  <si>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</si>
  <si>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</si>
  <si>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</si>
  <si>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</si>
  <si>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 xml:space="preserve">  rx_comm_err_irq_flag_clr : std_logic; -- Rx Communication Error IRQ Flag Clear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</si>
  <si>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</si>
  <si>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</si>
  <si>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</si>
  <si>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</si>
  <si>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</si>
  <si>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</si>
  <si>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 xml:space="preserve">  ftdi_module_loopback_en : std_logic; -- Enable Module USB Loopback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</si>
  <si>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</si>
  <si>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</si>
  <si>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</si>
  <si>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</si>
  <si>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</si>
  <si>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</si>
  <si>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</si>
  <si>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</si>
  <si>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</si>
  <si>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</si>
  <si>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</si>
  <si>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</si>
  <si>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</si>
  <si>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</si>
  <si>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</si>
  <si>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</si>
  <si>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</si>
  <si>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</si>
  <si>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</si>
  <si>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</si>
  <si>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</si>
  <si>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</si>
  <si>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</si>
  <si>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</si>
  <si>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</si>
  <si>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</si>
  <si>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</si>
  <si>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</si>
  <si>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</si>
  <si>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</si>
  <si>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rx_buffer_0_empty : std_logic; -- Rx Buffer 0 Empty</t>
  </si>
  <si>
    <t xml:space="preserve">  rx_buffer_0_full : std_logic; -- Rx Buffer 0 Full</t>
  </si>
  <si>
    <t xml:space="preserve">  rx_buffer_1_rdable : std_logic; -- Rx Buffer 1 Readable</t>
  </si>
  <si>
    <t xml:space="preserve">  rx_buffer_1_empty : std_logic; -- Rx Buffer 1 Empty</t>
  </si>
  <si>
    <t xml:space="preserve">  rx_buffer_1_full : std_logic; -- Rx Buffer 1 Full</t>
  </si>
  <si>
    <t xml:space="preserve">  rx_dbuffer_rdable : std_logic; -- Rx Double Buffer Readable</t>
  </si>
  <si>
    <t xml:space="preserve">  rx_dbuffer_empty : std_logic; -- Rx Double Buffer Empty</t>
  </si>
  <si>
    <t xml:space="preserve">  rx_dbuffer_full : std_logic; -- Rx Double Buffer Full</t>
  </si>
  <si>
    <t>end record t_ftdi_rx_buffer_status_rd_reg;</t>
  </si>
  <si>
    <t>-- FTDI Tx Buffer Status Register</t>
  </si>
  <si>
    <t>type t_ftdi_tx_buffer_status_rd_reg is record</t>
  </si>
  <si>
    <t xml:space="preserve">  tx_buffer_0_wrable : std_logic; -- Tx Buffer 0 Writeable</t>
  </si>
  <si>
    <t xml:space="preserve">  tx_buffer_0_empty : std_logic; -- Tx Buffer 0 Empty</t>
  </si>
  <si>
    <t xml:space="preserve">  tx_buffer_0_full : std_logic; -- Tx Buffer 0 Full</t>
  </si>
  <si>
    <t xml:space="preserve">  tx_buffer_1_wrable : std_logic; -- Tx Buffer 1 Writeable</t>
  </si>
  <si>
    <t xml:space="preserve">  tx_buffer_1_empty : std_logic; -- Tx Buffer 1 Empty</t>
  </si>
  <si>
    <t xml:space="preserve">  tx_buffer_1_full : std_logic; -- Tx Buffer 1 Full</t>
  </si>
  <si>
    <t xml:space="preserve">  tx_dbuffer_wrable : std_logic; -- Tx Double Buffer Writeable</t>
  </si>
  <si>
    <t xml:space="preserve">  tx_dbuffer_empty : std_logic; -- Tx Double Buffer Empty</t>
  </si>
  <si>
    <t xml:space="preserve">  tx_dbuffer_full : std_logic; -- Tx Double Buffer Full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</si>
  <si>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</si>
  <si>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</si>
  <si>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</si>
  <si>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</si>
  <si>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</si>
  <si>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</si>
  <si>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</si>
  <si>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</si>
  <si>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</si>
  <si>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</si>
  <si>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</si>
  <si>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</si>
  <si>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</si>
  <si>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</si>
  <si>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</si>
  <si>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</si>
  <si>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</si>
  <si>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</si>
  <si>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</si>
  <si>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</si>
  <si>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</si>
  <si>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</si>
  <si>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</si>
  <si>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</si>
  <si>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</si>
  <si>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</si>
  <si>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</si>
  <si>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</si>
  <si>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</si>
  <si>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</si>
  <si>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</si>
  <si>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</si>
  <si>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Rx IRQ Control Register : Rx Buffer 0 Readable IRQ Enable</t>
  </si>
  <si>
    <t xml:space="preserve">      ftdi_config_avalon_mm_o.readdata(0) &lt;= ftdi_config_wr_regs_i.rx_irq_control_reg.rx_buffer_0_rdable_irq_en;</t>
  </si>
  <si>
    <t xml:space="preserve">      -- FTDI Rx IRQ Control Register : Rx Buffer 1 Readable IRQ Enable</t>
  </si>
  <si>
    <t xml:space="preserve">      ftdi_config_avalon_mm_o.readdata(0) &lt;= ftdi_config_wr_regs_i.rx_irq_control_reg.rx_buffer_1_rdable_irq_en;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</si>
  <si>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</si>
  <si>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</si>
  <si>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</si>
  <si>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</si>
  <si>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Control Register : Rx Communication Error IRQ Enable</t>
  </si>
  <si>
    <t xml:space="preserve">      ftdi_config_avalon_mm_o.readdata(0) &lt;= ftdi_config_wr_regs_i.rx_irq_control_reg.rx_comm_err_irq_en;</t>
  </si>
  <si>
    <t xml:space="preserve">      -- FTDI Rx IRQ Flag Register : Rx Buffer 0 Readable IRQ Flag</t>
  </si>
  <si>
    <t xml:space="preserve">      ftdi_config_avalon_mm_o.readdata(0) &lt;= ftdi_config_rd_regs_i.rx_irq_flag_reg.rx_buffer_0_rdable_irq_flag;</t>
  </si>
  <si>
    <t xml:space="preserve">      -- FTDI Rx IRQ Flag Register : Rx Buffer 1 Readable IRQ Flag</t>
  </si>
  <si>
    <t xml:space="preserve">      ftdi_config_avalon_mm_o.readdata(0) &lt;= ftdi_config_rd_regs_i.rx_irq_flag_reg.rx_buffer_1_rdable_irq_flag;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</si>
  <si>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</si>
  <si>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</si>
  <si>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</si>
  <si>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</si>
  <si>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Register : Rx Communication Error IRQ Flag</t>
  </si>
  <si>
    <t xml:space="preserve">      ftdi_config_avalon_mm_o.readdata(0) &lt;= ftdi_config_rd_regs_i.rx_irq_flag_reg.rx_comm_err_irq_flag;</t>
  </si>
  <si>
    <t xml:space="preserve">      -- FTDI Rx IRQ Flag Clear Register : Rx Buffer 0 Readable IRQ Flag Clear</t>
  </si>
  <si>
    <t xml:space="preserve">      ftdi_config_avalon_mm_o.readdata(0) &lt;= ftdi_config_wr_regs_i.rx_irq_flag_clear_reg.rx_buffer_0_rdable_irq_flag_clr;</t>
  </si>
  <si>
    <t xml:space="preserve">      -- FTDI Rx IRQ Flag Clear Register : Rx Buffer 1 Readable IRQ Flag Clear</t>
  </si>
  <si>
    <t xml:space="preserve">      ftdi_config_avalon_mm_o.readdata(0) &lt;= ftdi_config_wr_regs_i.rx_irq_flag_clear_reg.rx_buffer_1_rdable_irq_flag_clr;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</si>
  <si>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</si>
  <si>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</si>
  <si>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</si>
  <si>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</si>
  <si>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Rx IRQ Flag Clear Register : Rx Communication Error IRQ Flag Clear</t>
  </si>
  <si>
    <t xml:space="preserve">      ftdi_config_avalon_mm_o.readdata(0) &lt;= ftdi_config_wr_regs_i.rx_irq_flag_clear_reg.rx_comm_err_irq_flag_clr;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</si>
  <si>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</si>
  <si>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</si>
  <si>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</si>
  <si>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</si>
  <si>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</si>
  <si>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</si>
  <si>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</si>
  <si>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</si>
  <si>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</si>
  <si>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</si>
  <si>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</si>
  <si>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</si>
  <si>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</si>
  <si>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</si>
  <si>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</si>
  <si>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</si>
  <si>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</si>
  <si>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</si>
  <si>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</si>
  <si>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</si>
  <si>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</si>
  <si>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</si>
  <si>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</si>
  <si>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</si>
  <si>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</si>
  <si>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</si>
  <si>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</si>
  <si>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</si>
  <si>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</si>
  <si>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</si>
  <si>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</si>
  <si>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</si>
  <si>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</si>
  <si>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</si>
  <si>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</si>
  <si>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</si>
  <si>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</si>
  <si>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</si>
  <si>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</si>
  <si>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</si>
  <si>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</si>
  <si>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</si>
  <si>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</si>
  <si>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</si>
  <si>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</si>
  <si>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</si>
  <si>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</si>
  <si>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</si>
  <si>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</si>
  <si>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</si>
  <si>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</si>
  <si>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</si>
  <si>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</si>
  <si>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</si>
  <si>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</si>
  <si>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</si>
  <si>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</si>
  <si>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</si>
  <si>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</si>
  <si>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</si>
  <si>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</si>
  <si>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Buffer Status Register : Rx Buffer 0 Readable</t>
  </si>
  <si>
    <t xml:space="preserve">      ftdi_config_avalon_mm_o.readdata(0) &lt;= ftdi_config_rd_regs_i.rx_buffer_status_reg.rx_buffer_0_rdable;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</si>
  <si>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</si>
  <si>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</si>
  <si>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0 Used [Bytes]</t>
  </si>
  <si>
    <t xml:space="preserve">      ftdi_config_avalon_mm_o.readdata(7 downto 0) &lt;= ftdi_config_rd_regs_i.rx_buffer_status_reg.rx_buffer_0_used_bytes(7 downto 0);</t>
  </si>
  <si>
    <t xml:space="preserve">      -- FTDI Rx Buffer Status Register : Rx Buffer 0 Full</t>
  </si>
  <si>
    <t xml:space="preserve">      ftdi_config_avalon_mm_o.readdata(0) &lt;= ftdi_config_rd_regs_i.rx_buffer_status_reg.rx_buffer_0_full;</t>
  </si>
  <si>
    <t xml:space="preserve">      -- FTDI Rx Buffer Status Register : Rx Buffer 1 Readable</t>
  </si>
  <si>
    <t xml:space="preserve">      ftdi_config_avalon_mm_o.readdata(0) &lt;= ftdi_config_rd_regs_i.rx_buffer_status_reg.rx_buffer_1_rdable;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</si>
  <si>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</si>
  <si>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</si>
  <si>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Buffer 1 Used [Bytes]</t>
  </si>
  <si>
    <t xml:space="preserve">      ftdi_config_avalon_mm_o.readdata(7 downto 0) &lt;= ftdi_config_rd_regs_i.rx_buffer_status_reg.rx_buffer_1_used_bytes(7 downto 0);</t>
  </si>
  <si>
    <t xml:space="preserve">      -- FTDI Rx Buffer Status Register : Rx Buffer 1 Full</t>
  </si>
  <si>
    <t xml:space="preserve">      ftdi_config_avalon_mm_o.readdata(0) &lt;= ftdi_config_rd_regs_i.rx_buffer_status_reg.rx_buffer_1_full;</t>
  </si>
  <si>
    <t xml:space="preserve">      -- FTDI Rx Buffer Status Register : Rx Double Buffer Readable</t>
  </si>
  <si>
    <t xml:space="preserve">      ftdi_config_avalon_mm_o.readdata(0) &lt;= ftdi_config_rd_regs_i.rx_buffer_status_reg.rx_dbuffer_rdable;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</si>
  <si>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</si>
  <si>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</si>
  <si>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    -- FTDI Rx Buffer Status Register : Rx Double Buffer Used [Bytes]</t>
  </si>
  <si>
    <t xml:space="preserve">      ftdi_config_avalon_mm_o.readdata(7 downto 0) &lt;= ftdi_config_rd_regs_i.rx_buffer_status_reg.rx_dbuffer_used_bytes(7 downto 0);</t>
  </si>
  <si>
    <t xml:space="preserve">      -- FTDI Rx Buffer Status Register : Rx Double Buffer Full</t>
  </si>
  <si>
    <t xml:space="preserve">      ftdi_config_avalon_mm_o.readdata(0) &lt;= ftdi_config_rd_regs_i.rx_buffer_status_reg.rx_dbuffer_full;</t>
  </si>
  <si>
    <t xml:space="preserve">      -- FTDI Tx Buffer Status Register : Tx Buffer 0 Writeable</t>
  </si>
  <si>
    <t xml:space="preserve">      ftdi_config_avalon_mm_o.readdata(0) &lt;= ftdi_config_rd_regs_i.tx_buffer_status_reg.tx_buffer_0_wrable;</t>
  </si>
  <si>
    <t xml:space="preserve">      -- FTDI Tx Buffer Status Register : Tx Buffer 0 Empty</t>
  </si>
  <si>
    <t xml:space="preserve">      ftdi_config_avalon_mm_o.readdata(0) &lt;= ftdi_config_rd_regs_i.tx_buffer_status_reg.tx_buffer_0_empty;</t>
  </si>
  <si>
    <t xml:space="preserve">      -- FTDI Tx Buffer Status Register : Tx Buffer 0 Space [Bytes]</t>
  </si>
  <si>
    <t xml:space="preserve">      ftdi_config_avalon_mm_o.readdata(7 downto 0) &lt;= ftdi_config_rd_regs_i.tx_buffer_status_reg.tx_buffer_0_space_bytes(7 downto 0);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</si>
  <si>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</si>
  <si>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</si>
  <si>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Writeable</t>
  </si>
  <si>
    <t xml:space="preserve">      ftdi_config_avalon_mm_o.readdata(0) &lt;= ftdi_config_rd_regs_i.tx_buffer_status_reg.tx_buffer_1_wrable;</t>
  </si>
  <si>
    <t xml:space="preserve">      -- FTDI Tx Buffer Status Register : Tx Buffer 1 Empty</t>
  </si>
  <si>
    <t xml:space="preserve">      ftdi_config_avalon_mm_o.readdata(0) &lt;= ftdi_config_rd_regs_i.tx_buffer_status_reg.tx_buffer_1_empty;</t>
  </si>
  <si>
    <t xml:space="preserve">      -- FTDI Tx Buffer Status Register : Tx Buffer 1 Space [Bytes]</t>
  </si>
  <si>
    <t xml:space="preserve">      ftdi_config_avalon_mm_o.readdata(7 downto 0) &lt;= ftdi_config_rd_regs_i.tx_buffer_status_reg.tx_buffer_1_space_bytes(7 downto 0);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</si>
  <si>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</si>
  <si>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</si>
  <si>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Writeable</t>
  </si>
  <si>
    <t xml:space="preserve">      ftdi_config_avalon_mm_o.readdata(0) &lt;= ftdi_config_rd_regs_i.tx_buffer_status_reg.tx_dbuffer_wrable;</t>
  </si>
  <si>
    <t xml:space="preserve">      -- FTDI Tx Buffer Status Register : Tx Double Buffer Empty</t>
  </si>
  <si>
    <t xml:space="preserve">      ftdi_config_avalon_mm_o.readdata(0) &lt;= ftdi_config_rd_regs_i.tx_buffer_status_reg.tx_dbuffer_empty;</t>
  </si>
  <si>
    <t xml:space="preserve">      -- FTDI Tx Buffer Status Register : Tx Double Buffer Space [Bytes]</t>
  </si>
  <si>
    <t xml:space="preserve">      ftdi_config_avalon_mm_o.readdata(7 downto 0) &lt;= ftdi_config_rd_regs_i.tx_buffer_status_reg.tx_dbuffer_space_bytes(7 downto 0);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</si>
  <si>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</si>
  <si>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</si>
  <si>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</si>
  <si>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</si>
  <si>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</si>
  <si>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</si>
  <si>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</si>
  <si>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</si>
  <si>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</si>
  <si>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</si>
  <si>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</si>
  <si>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</si>
  <si>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</si>
  <si>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</si>
  <si>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</si>
  <si>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</si>
  <si>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</si>
  <si>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</si>
  <si>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</si>
  <si>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</si>
  <si>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</si>
  <si>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</si>
  <si>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</si>
  <si>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</si>
  <si>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</si>
  <si>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</si>
  <si>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</si>
  <si>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</si>
  <si>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</si>
  <si>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</si>
  <si>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</si>
  <si>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</si>
  <si>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</si>
  <si>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</si>
  <si>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ftdi_config_wr_regs_o.rx_irq_flag_clear_reg.rx_comm_err_irq_flag_clr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</si>
  <si>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</si>
  <si>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</si>
  <si>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</si>
  <si>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ftdi_config_wr_regs_o.ftdi_module_control_reg.ftdi_module_loopback_en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</si>
  <si>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</si>
  <si>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</si>
  <si>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</si>
  <si>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</si>
  <si>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</si>
  <si>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</si>
  <si>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</si>
  <si>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</si>
  <si>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</si>
  <si>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</si>
  <si>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</si>
  <si>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</si>
  <si>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</si>
  <si>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</si>
  <si>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</si>
  <si>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</si>
  <si>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Rx IRQ Control Register : Rx Buffer 0 Readable IRQ Enable</t>
  </si>
  <si>
    <t>ftdi_config_wr_regs_o.rx_irq_control_reg.rx_buffer_0_rdable_irq_en &lt;= '0';</t>
  </si>
  <si>
    <t>-- FTDI Rx IRQ Control Register : Rx Buffer 1 Readable IRQ Enable</t>
  </si>
  <si>
    <t>ftdi_config_wr_regs_o.rx_irq_control_reg.rx_buffer_1_rdable_irq_en &lt;= '0';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</si>
  <si>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</si>
  <si>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</si>
  <si>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</si>
  <si>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</si>
  <si>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Control Register : Rx Communication Error IRQ Enable</t>
  </si>
  <si>
    <t>ftdi_config_wr_regs_o.rx_irq_control_reg.rx_comm_err_irq_en &lt;= '0';</t>
  </si>
  <si>
    <t>-- FTDI Rx IRQ Flag Clear Register : Rx Buffer 0 Readable IRQ Flag Clear</t>
  </si>
  <si>
    <t>ftdi_config_wr_regs_o.rx_irq_flag_clear_reg.rx_buffer_0_rdable_irq_flag_clr &lt;= '0';</t>
  </si>
  <si>
    <t>-- FTDI Rx IRQ Flag Clear Register : Rx Buffer 1 Readable IRQ Flag Clear</t>
  </si>
  <si>
    <t>ftdi_config_wr_regs_o.rx_irq_flag_clear_reg.rx_buffer_1_rdable_irq_flag_clr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</si>
  <si>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</si>
  <si>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</si>
  <si>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</si>
  <si>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</si>
  <si>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Rx IRQ Flag Clear Register : Rx Communication Error IRQ Flag Clear</t>
  </si>
  <si>
    <t>ftdi_config_wr_regs_o.rx_irq_flag_clear_reg.rx_comm_err_irq_flag_clr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</si>
  <si>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</si>
  <si>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</si>
  <si>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</si>
  <si>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</si>
  <si>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</si>
  <si>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</si>
  <si>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Module Control Register : Enable Module USB Loopback</t>
  </si>
  <si>
    <t>ftdi_config_wr_regs_o.ftdi_module_control_reg.ftdi_module_loopback_en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</si>
  <si>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</si>
  <si>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</si>
  <si>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</si>
  <si>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</si>
  <si>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</si>
  <si>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</si>
  <si>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</si>
  <si>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</si>
  <si>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</si>
  <si>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</si>
  <si>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</si>
  <si>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</si>
  <si>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</si>
  <si>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</si>
  <si>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</si>
  <si>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</si>
  <si>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</si>
  <si>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</si>
  <si>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</si>
  <si>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</si>
  <si>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</si>
  <si>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</si>
  <si>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</si>
  <si>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</si>
  <si>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</si>
  <si>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</si>
  <si>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</si>
  <si>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</si>
  <si>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</si>
  <si>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</si>
  <si>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bRxCommErrIrqEn; /* Rx Communication Error IRQ Enable */</t>
  </si>
  <si>
    <t>} TFtdiRxIrqControl;</t>
  </si>
  <si>
    <t xml:space="preserve"> /* FTDI Rx IRQ Flag Register Struct */</t>
  </si>
  <si>
    <t>typedef struct FtdiRxIrqFlag {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</si>
  <si>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</si>
  <si>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</si>
  <si>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</si>
  <si>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</si>
  <si>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bRxCommErrIrqFlag; /* Rx Communication Error IRQ Flag */</t>
  </si>
  <si>
    <t>} TFtdiRxIrqFlag;</t>
  </si>
  <si>
    <t xml:space="preserve"> /* FTDI Rx IRQ Flag Clear Register Struct */</t>
  </si>
  <si>
    <t>typedef struct FtdiRxIrqFlagClr {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</si>
  <si>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</si>
  <si>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</si>
  <si>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</si>
  <si>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</si>
  <si>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bRxCommErrIrqFlagClr; /* Rx Communication Error IRQ Flag Clear */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</si>
  <si>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</si>
  <si>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</si>
  <si>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</si>
  <si>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</si>
  <si>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</si>
  <si>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</si>
  <si>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bModuleLoopbackEn; /* Enable Module USB Loopback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</si>
  <si>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</si>
  <si>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</si>
  <si>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</si>
  <si>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</si>
  <si>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</si>
  <si>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</si>
  <si>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</si>
  <si>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</si>
  <si>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</si>
  <si>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</si>
  <si>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</si>
  <si>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</si>
  <si>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</si>
  <si>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</si>
  <si>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</si>
  <si>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</si>
  <si>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</si>
  <si>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</si>
  <si>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</si>
  <si>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</si>
  <si>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</si>
  <si>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</si>
  <si>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</si>
  <si>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 xml:space="preserve">  bool bRxBuff0Rdable; /* Rx Buffer 0 Readable */</t>
  </si>
  <si>
    <t xml:space="preserve">  bool bRxBuff0Empty; /* Rx Buffer 0 Empty */</t>
  </si>
  <si>
    <t xml:space="preserve">  alt_u16 usiRxBuff0UsedBytes; /* Rx Buffer 0 Used [Bytes] */</t>
  </si>
  <si>
    <t xml:space="preserve">  bool bRxBuff0Full; /* Rx Buffer 0 Full */</t>
  </si>
  <si>
    <t xml:space="preserve">  bool bRxBuff1Rdable; /* Rx Buffer 1 Readable */</t>
  </si>
  <si>
    <t xml:space="preserve">  bool bRxBuff1Empty; /* Rx Buffer 1 Empty */</t>
  </si>
  <si>
    <t xml:space="preserve">  alt_u16 usiRxBuff1UsedBytes; /* Rx Buffer 1 Used [Bytes] */</t>
  </si>
  <si>
    <t xml:space="preserve">  bool bRxBuff1Full; /* Rx Buffer 1 Full */</t>
  </si>
  <si>
    <t xml:space="preserve">  bool bRxDbuffRdable; /* Rx Double Buffer Readable */</t>
  </si>
  <si>
    <t xml:space="preserve">  bool bRxDbuffEmpty; /* Rx Double Buffer Empty */</t>
  </si>
  <si>
    <t xml:space="preserve">  alt_u16 usiRxDbuffUsedBytes; /* Rx Double Buffer Used [Bytes] */</t>
  </si>
  <si>
    <t xml:space="preserve">  bool bRxDbuffFull; /* Rx Double Buffer Full */</t>
  </si>
  <si>
    <t>} TFtdiRxBufferStatus;</t>
  </si>
  <si>
    <t xml:space="preserve"> /* FTDI Tx Buffer Status Register Struct */</t>
  </si>
  <si>
    <t>typedef struct FtdiTxBufferStatus {</t>
  </si>
  <si>
    <t xml:space="preserve">  bool bTxBuff0Wrable; /* Tx Buffer 0 Writeable */</t>
  </si>
  <si>
    <t xml:space="preserve">  bool bTxBuff0Empty; /* Tx Buffer 0 Empty */</t>
  </si>
  <si>
    <t xml:space="preserve">  alt_u16 usiTxBuff0SpaceBytes; /* Tx Buffer 0 Space [Bytes] */</t>
  </si>
  <si>
    <t xml:space="preserve">  bool bTxBuff0Full; /* Tx Buffer 0 Full */</t>
  </si>
  <si>
    <t xml:space="preserve">  bool bTxBuff1Wrable; /* Tx Buffer 1 Writeable */</t>
  </si>
  <si>
    <t xml:space="preserve">  bool bTxBuff1Empty; /* Tx Buffer 1 Empty */</t>
  </si>
  <si>
    <t xml:space="preserve">  alt_u16 usiTxBuff1SpaceBytes; /* Tx Buffer 1 Space [Bytes] */</t>
  </si>
  <si>
    <t xml:space="preserve">  bool bTxBuff1Full; /* Tx Buffer 1 Full */</t>
  </si>
  <si>
    <t xml:space="preserve">  bool bTxDbuffWrable; /* Tx Double Buffer Writeable */</t>
  </si>
  <si>
    <t xml:space="preserve">  bool bTxDbuffEmpty; /* Tx Double Buffer Empty */</t>
  </si>
  <si>
    <t xml:space="preserve">  alt_u16 usiTxDbuffSpaceBytes; /* Tx Double Buffer Space [Bytes] */</t>
  </si>
  <si>
    <t xml:space="preserve">  bool bTxDbuffFull; /* Tx Double Buffer Full */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</si>
  <si>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</si>
  <si>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</si>
  <si>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</si>
  <si>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</si>
  <si>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</si>
  <si>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</si>
  <si>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</si>
  <si>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</si>
  <si>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</si>
  <si>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</si>
  <si>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</si>
  <si>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</si>
  <si>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</si>
  <si>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</si>
  <si>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</si>
  <si>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</si>
  <si>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</si>
  <si>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</si>
  <si>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</si>
  <si>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</si>
  <si>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</si>
  <si>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</si>
  <si>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</si>
  <si>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</si>
  <si>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</si>
  <si>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</si>
  <si>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</si>
  <si>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</si>
  <si>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</si>
  <si>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</si>
  <si>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</si>
  <si>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</si>
  <si>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</si>
  <si>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</si>
  <si>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</si>
  <si>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</si>
  <si>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</si>
  <si>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</si>
  <si>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</si>
  <si>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</si>
  <si>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</si>
  <si>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</si>
  <si>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</si>
  <si>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</si>
  <si>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</si>
  <si>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</si>
  <si>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</si>
  <si>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</si>
  <si>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</si>
  <si>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</si>
  <si>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</si>
  <si>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</si>
  <si>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</si>
  <si>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</si>
  <si>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</si>
  <si>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</si>
  <si>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</si>
  <si>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</si>
  <si>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</si>
  <si>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</si>
  <si>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</si>
  <si>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</si>
  <si>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</si>
  <si>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</si>
  <si>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</si>
  <si>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</si>
  <si>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</si>
  <si>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</si>
  <si>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</si>
  <si>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</si>
  <si>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</si>
  <si>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</si>
  <si>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</si>
  <si>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</si>
  <si>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</si>
  <si>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</si>
  <si>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</si>
  <si>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</si>
  <si>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</si>
  <si>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</si>
  <si>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</si>
  <si>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</si>
  <si>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</si>
  <si>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</si>
  <si>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</si>
  <si>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</si>
  <si>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</si>
  <si>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</si>
  <si>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</si>
  <si>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</si>
  <si>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</si>
  <si>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</si>
  <si>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</si>
  <si>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</si>
  <si>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</si>
  <si>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</si>
  <si>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</si>
  <si>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</si>
  <si>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</si>
  <si>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</si>
  <si>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</si>
  <si>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</si>
  <si>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</si>
  <si>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</si>
  <si>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</si>
  <si>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</si>
  <si>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</si>
  <si>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</si>
  <si>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</si>
  <si>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</si>
  <si>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</si>
  <si>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</si>
  <si>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</si>
  <si>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</si>
  <si>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</si>
  <si>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</si>
  <si>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</si>
  <si>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</si>
  <si>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</si>
  <si>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</si>
  <si>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</si>
  <si>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</si>
  <si>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</si>
  <si>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</si>
  <si>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</si>
  <si>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</si>
  <si>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</si>
  <si>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</si>
  <si>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</si>
  <si>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</si>
  <si>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</si>
  <si>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</si>
  <si>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</si>
  <si>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</si>
  <si>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</si>
  <si>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</si>
  <si>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</si>
  <si>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</si>
  <si>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</si>
  <si>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</si>
  <si>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</si>
  <si>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</si>
  <si>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</si>
  <si>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</si>
  <si>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</si>
  <si>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</si>
  <si>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</si>
  <si>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</si>
  <si>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</si>
  <si>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</si>
  <si>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</si>
  <si>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</si>
  <si>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</si>
  <si>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</si>
  <si>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</si>
  <si>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</si>
  <si>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</si>
  <si>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</si>
  <si>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</si>
  <si>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</si>
  <si>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</si>
  <si>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</si>
  <si>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</si>
  <si>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</si>
  <si>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</si>
  <si>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</si>
  <si>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</si>
  <si>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</si>
  <si>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</si>
  <si>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</si>
  <si>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</si>
  <si>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</si>
  <si>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</si>
  <si>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</si>
  <si>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</si>
  <si>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</si>
  <si>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</si>
  <si>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</si>
  <si>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</si>
  <si>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</si>
  <si>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</si>
  <si>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</si>
  <si>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</si>
  <si>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</si>
  <si>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</si>
  <si>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</si>
  <si>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</si>
  <si>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</si>
  <si>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</si>
  <si>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</si>
  <si>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</si>
  <si>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</si>
  <si>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</si>
  <si>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</si>
  <si>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</si>
  <si>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</si>
  <si>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</si>
  <si>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</si>
  <si>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</si>
  <si>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</si>
  <si>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</si>
  <si>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</si>
  <si>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</si>
  <si>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</si>
  <si>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</si>
  <si>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</si>
  <si>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</si>
  <si>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</si>
  <si>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</si>
  <si>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</si>
  <si>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</si>
  <si>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</si>
  <si>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</si>
  <si>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</si>
  <si>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</si>
  <si>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</si>
  <si>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</si>
  <si>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</si>
  <si>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</si>
  <si>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</si>
  <si>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</si>
  <si>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</si>
  <si>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</si>
  <si>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</si>
  <si>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</si>
  <si>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</si>
  <si>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</si>
  <si>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</si>
  <si>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</si>
  <si>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</si>
  <si>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</si>
  <si>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</si>
  <si>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</si>
  <si>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</si>
  <si>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</si>
  <si>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</si>
  <si>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</si>
  <si>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</si>
  <si>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</si>
  <si>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</si>
  <si>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</si>
  <si>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</si>
  <si>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</si>
  <si>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</si>
  <si>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</si>
  <si>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</si>
  <si>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</si>
  <si>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</si>
  <si>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</si>
  <si>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</si>
  <si>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</si>
  <si>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</si>
  <si>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</si>
  <si>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</si>
  <si>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</si>
  <si>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</si>
  <si>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</si>
  <si>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</si>
  <si>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</si>
  <si>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</si>
  <si>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</si>
  <si>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</si>
  <si>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</si>
  <si>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</si>
  <si>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</si>
  <si>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</si>
  <si>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</si>
  <si>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</si>
  <si>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</si>
  <si>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</si>
  <si>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</si>
  <si>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</si>
  <si>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</si>
  <si>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</si>
  <si>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</si>
  <si>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</si>
  <si>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</si>
  <si>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</si>
  <si>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</si>
  <si>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</si>
  <si>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</si>
  <si>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</si>
  <si>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</si>
  <si>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</si>
  <si>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</si>
  <si>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</si>
  <si>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</si>
  <si>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</si>
  <si>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</si>
  <si>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</si>
  <si>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</si>
  <si>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</si>
  <si>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</si>
  <si>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</si>
  <si>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</si>
  <si>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</si>
  <si>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</si>
  <si>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</si>
  <si>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</si>
  <si>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</si>
  <si>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</si>
  <si>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</si>
  <si>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</si>
  <si>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</si>
  <si>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</si>
  <si>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</si>
  <si>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</si>
  <si>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</si>
  <si>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</si>
  <si>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</si>
  <si>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</si>
  <si>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</si>
  <si>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</si>
  <si>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</si>
  <si>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</si>
  <si>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</si>
  <si>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</si>
  <si>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</si>
  <si>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</si>
  <si>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</si>
  <si>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</si>
  <si>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</si>
  <si>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</si>
  <si>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</si>
  <si>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</si>
  <si>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</si>
  <si>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</si>
  <si>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</si>
  <si>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</si>
  <si>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</si>
  <si>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</si>
  <si>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</si>
  <si>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</si>
  <si>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</si>
  <si>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</si>
  <si>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</si>
  <si>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</si>
  <si>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</si>
  <si>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</si>
  <si>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 xml:space="preserve">  rx_buffer_0_used_bytes : std_logic_vector(15 downto 0); -- Rx Buffer 0 Used [Bytes]</t>
  </si>
  <si>
    <t xml:space="preserve">  rx_buffer_1_used_bytes : std_logic_vector(15 downto 0); -- Rx Buffer 1 Used [Bytes]</t>
  </si>
  <si>
    <t xml:space="preserve">  rx_dbuffer_used_bytes : std_logic_vector(15 downto 0); -- Rx Double Buffer Used [Bytes]</t>
  </si>
  <si>
    <t xml:space="preserve">  tx_buffer_0_space_bytes : std_logic_vector(15 downto 0); -- Tx Buffer 0 Space [Bytes]</t>
  </si>
  <si>
    <t xml:space="preserve">  tx_buffer_1_space_bytes : std_logic_vector(15 downto 0); -- Tx Buffer 1 Space [Bytes]</t>
  </si>
  <si>
    <t xml:space="preserve">  tx_dbuffer_space_bytes : std_logic_vector(15 downto 0); -- Tx Double Buffer Space [Bytes]</t>
  </si>
  <si>
    <t xml:space="preserve">      ftdi_config_avalon_mm_o.readdata(15 downto 8) &lt;= ftdi_config_rd_regs_i.rx_buffer_status_reg.rx_buffer_0_used_bytes(15 downto 8);</t>
  </si>
  <si>
    <t xml:space="preserve">      ftdi_config_avalon_mm_o.readdata(15 downto 8) &lt;= ftdi_config_rd_regs_i.rx_buffer_status_reg.rx_buffer_1_used_bytes(15 downto 8);</t>
  </si>
  <si>
    <t xml:space="preserve">      ftdi_config_avalon_mm_o.readdata(15 downto 8) &lt;= ftdi_config_rd_regs_i.rx_buffer_status_reg.rx_dbuffer_used_bytes(15 downto 8);</t>
  </si>
  <si>
    <t xml:space="preserve">      ftdi_config_avalon_mm_o.readdata(15 downto 8) &lt;= ftdi_config_rd_regs_i.tx_buffer_status_reg.tx_buffer_0_space_bytes(15 downto 8);</t>
  </si>
  <si>
    <t xml:space="preserve">      ftdi_config_avalon_mm_o.readdata(15 downto 8) &lt;= ftdi_config_rd_regs_i.tx_buffer_status_reg.tx_buffer_1_space_bytes(15 downto 8);</t>
  </si>
  <si>
    <t xml:space="preserve">      ftdi_config_avalon_mm_o.readdata(15 downto 8) &lt;= ftdi_config_rd_regs_i.tx_buffer_status_reg.tx_dbuffer_space_bytes(15 downto 8);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</si>
  <si>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</si>
  <si>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</si>
  <si>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</si>
  <si>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</si>
  <si>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</si>
  <si>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</si>
  <si>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</si>
  <si>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</si>
  <si>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</si>
  <si>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</si>
  <si>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</si>
  <si>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</si>
  <si>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</si>
  <si>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</si>
  <si>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</si>
  <si>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</si>
  <si>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</si>
  <si>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</si>
  <si>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</si>
  <si>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</si>
  <si>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</si>
  <si>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</si>
  <si>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</si>
  <si>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</si>
  <si>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</si>
  <si>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</si>
  <si>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</si>
  <si>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</si>
  <si>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</si>
  <si>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</si>
  <si>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</si>
  <si>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</si>
  <si>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</si>
  <si>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</si>
  <si>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</si>
  <si>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</si>
  <si>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</si>
  <si>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</si>
  <si>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</si>
  <si>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</si>
  <si>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</si>
  <si>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</si>
  <si>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</si>
  <si>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</si>
  <si>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</si>
  <si>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</si>
  <si>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</si>
  <si>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</si>
  <si>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</si>
  <si>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</si>
  <si>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</si>
  <si>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</si>
  <si>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</si>
  <si>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</si>
  <si>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</si>
  <si>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</si>
  <si>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</si>
  <si>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</si>
  <si>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</si>
  <si>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</si>
  <si>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</si>
  <si>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</si>
  <si>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</si>
  <si>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</si>
  <si>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</si>
  <si>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</si>
  <si>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</si>
  <si>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</si>
  <si>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</si>
  <si>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</si>
  <si>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</si>
  <si>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</si>
  <si>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</si>
  <si>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</si>
  <si>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</si>
  <si>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</si>
  <si>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</si>
  <si>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</si>
  <si>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</si>
  <si>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</si>
  <si>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</si>
  <si>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</si>
  <si>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</si>
  <si>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</si>
  <si>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</si>
  <si>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</si>
  <si>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</si>
  <si>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</si>
  <si>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</si>
  <si>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</si>
  <si>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</si>
  <si>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</si>
  <si>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</si>
  <si>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</si>
  <si>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</si>
  <si>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</si>
  <si>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</si>
  <si>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</si>
  <si>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</si>
  <si>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</si>
  <si>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</si>
  <si>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</si>
  <si>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</si>
  <si>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</si>
  <si>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</si>
  <si>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</si>
  <si>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</si>
  <si>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</si>
  <si>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</si>
  <si>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</si>
  <si>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</si>
  <si>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</si>
  <si>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</si>
  <si>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</si>
  <si>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</si>
  <si>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</si>
  <si>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</si>
  <si>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</si>
  <si>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</si>
  <si>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</si>
  <si>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</si>
  <si>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</si>
  <si>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</si>
  <si>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</si>
  <si>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</si>
  <si>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</si>
  <si>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</si>
  <si>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</si>
  <si>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</si>
  <si>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</si>
  <si>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</si>
  <si>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</si>
  <si>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</si>
  <si>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</si>
  <si>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</si>
  <si>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</si>
  <si>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</si>
  <si>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</si>
  <si>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</si>
  <si>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</si>
  <si>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</si>
  <si>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</si>
  <si>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</si>
  <si>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</si>
  <si>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</si>
  <si>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</si>
  <si>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</si>
  <si>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</si>
  <si>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</si>
  <si>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</si>
  <si>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</si>
  <si>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</si>
  <si>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</si>
  <si>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</si>
  <si>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</si>
  <si>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</si>
  <si>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</si>
  <si>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</si>
  <si>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</si>
  <si>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</si>
  <si>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</si>
  <si>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</si>
  <si>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</si>
  <si>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</si>
  <si>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</si>
  <si>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</si>
  <si>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</si>
  <si>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</si>
  <si>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</si>
  <si>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</si>
  <si>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</si>
  <si>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</si>
  <si>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</si>
  <si>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</si>
  <si>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</si>
  <si>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</si>
  <si>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</si>
  <si>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</si>
  <si>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</si>
  <si>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</si>
  <si>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</si>
  <si>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</si>
  <si>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</si>
  <si>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</si>
  <si>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</si>
  <si>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</si>
  <si>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</si>
  <si>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</si>
  <si>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</si>
  <si>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</si>
  <si>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</si>
  <si>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</si>
  <si>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</si>
  <si>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</si>
  <si>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</si>
  <si>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</si>
  <si>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</si>
  <si>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</si>
  <si>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</si>
  <si>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</si>
  <si>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</si>
  <si>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</si>
  <si>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</si>
  <si>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</si>
  <si>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</si>
  <si>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</si>
  <si>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</si>
  <si>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</si>
  <si>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</si>
  <si>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</si>
  <si>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</si>
  <si>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</si>
  <si>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</si>
  <si>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</si>
  <si>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</si>
  <si>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</si>
  <si>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</si>
  <si>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</si>
  <si>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</si>
  <si>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</si>
  <si>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</si>
  <si>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</si>
  <si>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</si>
  <si>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</si>
  <si>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</si>
  <si>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</si>
  <si>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</si>
  <si>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</si>
  <si>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</si>
  <si>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</si>
  <si>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</si>
  <si>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</si>
  <si>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</si>
  <si>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</si>
  <si>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</si>
  <si>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</si>
  <si>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</si>
  <si>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</si>
  <si>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</si>
  <si>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</si>
  <si>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</si>
  <si>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</si>
  <si>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</si>
  <si>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</si>
  <si>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</si>
  <si>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</si>
  <si>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</si>
  <si>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</si>
  <si>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</si>
  <si>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</si>
  <si>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</si>
  <si>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</si>
  <si>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</si>
  <si>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</si>
  <si>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</si>
  <si>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</si>
  <si>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</si>
  <si>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</si>
  <si>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</si>
  <si>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</si>
  <si>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</si>
  <si>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</si>
  <si>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</si>
  <si>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</si>
  <si>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</si>
  <si>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</si>
  <si>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</si>
  <si>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</si>
  <si>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</si>
  <si>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</si>
  <si>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</si>
  <si>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</si>
  <si>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</si>
  <si>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</si>
  <si>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</si>
  <si>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</si>
  <si>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</si>
  <si>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</si>
  <si>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</si>
  <si>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</si>
  <si>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</si>
  <si>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</si>
  <si>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</si>
  <si>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</si>
  <si>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</si>
  <si>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</si>
  <si>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</si>
  <si>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</si>
  <si>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</si>
  <si>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</si>
  <si>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</si>
  <si>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</si>
  <si>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</si>
  <si>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</si>
  <si>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</si>
  <si>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</si>
  <si>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</si>
  <si>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</si>
  <si>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</si>
  <si>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</si>
  <si>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</si>
  <si>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</si>
  <si>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</si>
  <si>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</si>
  <si>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</si>
  <si>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</si>
  <si>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</si>
  <si>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</si>
  <si>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</si>
  <si>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</si>
  <si>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</si>
  <si>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</si>
  <si>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</si>
  <si>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</si>
  <si>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</si>
  <si>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</si>
  <si>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</si>
  <si>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</si>
  <si>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</si>
  <si>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</si>
  <si>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</si>
  <si>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</si>
  <si>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</si>
  <si>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</si>
  <si>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</si>
  <si>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</si>
  <si>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</si>
  <si>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</si>
  <si>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</si>
  <si>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</si>
  <si>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</si>
  <si>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</si>
  <si>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</si>
  <si>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</si>
  <si>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</si>
  <si>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</si>
  <si>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</si>
  <si>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</si>
  <si>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</si>
  <si>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</si>
  <si>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</si>
  <si>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</si>
  <si>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</si>
  <si>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</si>
  <si>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</si>
  <si>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</si>
  <si>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</si>
  <si>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</si>
  <si>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</si>
  <si>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</si>
  <si>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</si>
  <si>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</si>
  <si>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</si>
  <si>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</si>
  <si>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</si>
  <si>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</si>
  <si>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</si>
  <si>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</si>
  <si>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</si>
  <si>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</si>
  <si>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</si>
  <si>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</si>
  <si>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</si>
  <si>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</si>
  <si>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</si>
  <si>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</si>
  <si>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</si>
  <si>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</si>
  <si>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</si>
  <si>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</si>
  <si>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</si>
  <si>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</si>
  <si>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</si>
  <si>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</si>
  <si>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</si>
  <si>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</si>
  <si>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</si>
  <si>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</si>
  <si>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</si>
  <si>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</si>
  <si>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</si>
  <si>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</si>
  <si>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</si>
  <si>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</si>
  <si>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</si>
  <si>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</si>
  <si>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</si>
  <si>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</si>
  <si>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</si>
  <si>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</si>
  <si>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</si>
  <si>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</si>
  <si>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</si>
  <si>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</si>
  <si>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</si>
  <si>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</si>
  <si>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</si>
  <si>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</si>
  <si>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</si>
  <si>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</si>
  <si>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</si>
  <si>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</si>
  <si>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</si>
  <si>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</si>
  <si>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</si>
  <si>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</si>
  <si>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</si>
  <si>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</si>
  <si>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</si>
  <si>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</si>
  <si>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</si>
  <si>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</si>
  <si>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</si>
  <si>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</si>
  <si>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</si>
  <si>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</si>
  <si>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</si>
  <si>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</si>
  <si>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</si>
  <si>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</si>
  <si>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</si>
  <si>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</si>
  <si>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</si>
  <si>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</si>
  <si>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</si>
  <si>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</si>
  <si>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</si>
  <si>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</si>
  <si>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</si>
  <si>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FTDI Tx Data Control Register</t>
  </si>
  <si>
    <t>Tx Initial Read Address [High Dword]</t>
  </si>
  <si>
    <t>tx_data_control_reg</t>
  </si>
  <si>
    <t>t_ftdi_tx_data_control_wr_reg</t>
  </si>
  <si>
    <t>tx_rd_initial_addr_high_dword</t>
  </si>
  <si>
    <t>FtdiTxDataControl</t>
  </si>
  <si>
    <t>uliTxRdInitAddrHighDword</t>
  </si>
  <si>
    <t>Tx Initial Read Address [Low Dword]</t>
  </si>
  <si>
    <t>tx_rd_initial_addr_low_dword</t>
  </si>
  <si>
    <t>uliTxRdInitAddrLowDword</t>
  </si>
  <si>
    <t>Tx Read Data Length [Bytes]</t>
  </si>
  <si>
    <t>tx_rd_data_length_bytes</t>
  </si>
  <si>
    <t>uliTxRdDataLenghtBytes</t>
  </si>
  <si>
    <t>Tx Data Read Start</t>
  </si>
  <si>
    <t>tx_rd_start</t>
  </si>
  <si>
    <t>bTxRdStart</t>
  </si>
  <si>
    <t>Tx Data Read Reset</t>
  </si>
  <si>
    <t>tx_rd_reset</t>
  </si>
  <si>
    <t>bTxRdReset</t>
  </si>
  <si>
    <t>FTDI Tx Data Status Register</t>
  </si>
  <si>
    <t>Tx Data Read Busy</t>
  </si>
  <si>
    <t>tx_data_status_reg</t>
  </si>
  <si>
    <t>t_ftdi_tx_data_status_rd_reg</t>
  </si>
  <si>
    <t>tx_rd_busy</t>
  </si>
  <si>
    <t>FtdiTxDataStatus</t>
  </si>
  <si>
    <t>bTxRdBusy</t>
  </si>
  <si>
    <t>FTDI Rx Data Control Register</t>
  </si>
  <si>
    <t>Rx Initial Write Address [High Dword]</t>
  </si>
  <si>
    <t>rx_data_control_reg</t>
  </si>
  <si>
    <t>t_ftdi_rx_data_control_wr_reg</t>
  </si>
  <si>
    <t>rx_wr_initial_addr_high_dword</t>
  </si>
  <si>
    <t>FtdiRxDataControl</t>
  </si>
  <si>
    <t>uliRxWrInitAddrHighDword</t>
  </si>
  <si>
    <t>Rx Initial Write Address [Low Dword]</t>
  </si>
  <si>
    <t>rx_wr_initial_addr_low_dword</t>
  </si>
  <si>
    <t>uliRxWrInitAddrLowDword</t>
  </si>
  <si>
    <t>Rx Write Data Length [Bytes]</t>
  </si>
  <si>
    <t>rx_wr_data_length_bytes</t>
  </si>
  <si>
    <t>uliRxWrDataLenghtBytes</t>
  </si>
  <si>
    <t>Rx Data Write Start</t>
  </si>
  <si>
    <t>rx_wr_start</t>
  </si>
  <si>
    <t>bRxWrStart</t>
  </si>
  <si>
    <t>Rx Data Write Reset</t>
  </si>
  <si>
    <t>rx_wr_reset</t>
  </si>
  <si>
    <t>bRxWrReset</t>
  </si>
  <si>
    <t>FTDI Rx Data Status Register</t>
  </si>
  <si>
    <t>Rx Data Write Busy</t>
  </si>
  <si>
    <t>rx_data_status_reg</t>
  </si>
  <si>
    <t>t_ftdi_rx_data_status_rd_reg</t>
  </si>
  <si>
    <t>rx_wr_busy</t>
  </si>
  <si>
    <t>FtdiRxDataStatus</t>
  </si>
  <si>
    <t>bRxWrBusy</t>
  </si>
  <si>
    <t>-- FTDI Tx Data Control Register</t>
  </si>
  <si>
    <t>type t_ftdi_tx_data_control_wr_reg is record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</si>
  <si>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</si>
  <si>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</si>
  <si>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</si>
  <si>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</si>
  <si>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</si>
  <si>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>end record t_ftdi_tx_data_control_wr_reg;</t>
  </si>
  <si>
    <t>-- FTDI Tx Data Status Register</t>
  </si>
  <si>
    <t>type t_ftdi_tx_data_status_rd_reg is record</t>
  </si>
  <si>
    <t xml:space="preserve">  tx_rd_busy : std_logic; -- Tx Data Read Busy</t>
  </si>
  <si>
    <t>end record t_ftdi_tx_data_status_rd_reg;</t>
  </si>
  <si>
    <t>-- FTDI Rx Data Control Register</t>
  </si>
  <si>
    <t>type t_ftdi_rx_data_control_wr_reg is record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</si>
  <si>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</si>
  <si>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</si>
  <si>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</si>
  <si>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</si>
  <si>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</si>
  <si>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>end record t_ftdi_rx_data_control_wr_reg;</t>
  </si>
  <si>
    <t>-- FTDI Rx Data Status Register</t>
  </si>
  <si>
    <t>type t_ftdi_rx_data_status_rd_reg is record</t>
  </si>
  <si>
    <t xml:space="preserve">  rx_wr_busy : std_logic; -- Rx Data Write Busy</t>
  </si>
  <si>
    <t>end record t_ftdi_rx_data_status_rd_reg;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</si>
  <si>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</si>
  <si>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</si>
  <si>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</si>
  <si>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</si>
  <si>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</si>
  <si>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</si>
  <si>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</si>
  <si>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</si>
  <si>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</si>
  <si>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</si>
  <si>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</si>
  <si>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</si>
  <si>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</si>
  <si>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</si>
  <si>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</si>
  <si>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</si>
  <si>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</si>
  <si>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</si>
  <si>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</si>
  <si>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</si>
  <si>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</si>
  <si>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</si>
  <si>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</si>
  <si>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</si>
  <si>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</si>
  <si>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</si>
  <si>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</si>
  <si>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</si>
  <si>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</si>
  <si>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</si>
  <si>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</si>
  <si>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</si>
  <si>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</si>
  <si>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</si>
  <si>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</si>
  <si>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</si>
  <si>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</si>
  <si>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</si>
  <si>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</si>
  <si>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</si>
  <si>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</si>
  <si>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</si>
  <si>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</si>
  <si>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</si>
  <si>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</si>
  <si>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</si>
  <si>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when (16#77#) =&gt;</t>
  </si>
  <si>
    <t xml:space="preserve">  when (16#78#) =&gt;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</si>
  <si>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</si>
  <si>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</si>
  <si>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</si>
  <si>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</si>
  <si>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</si>
  <si>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</si>
  <si>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</si>
  <si>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</si>
  <si>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</si>
  <si>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</si>
  <si>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</si>
  <si>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</si>
  <si>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</si>
  <si>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</si>
  <si>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</si>
  <si>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</si>
  <si>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</si>
  <si>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</si>
  <si>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</si>
  <si>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</si>
  <si>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</si>
  <si>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</si>
  <si>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</si>
  <si>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</si>
  <si>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</si>
  <si>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</si>
  <si>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</si>
  <si>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</si>
  <si>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</si>
  <si>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</si>
  <si>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</si>
  <si>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</si>
  <si>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</si>
  <si>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</si>
  <si>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</si>
  <si>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</si>
  <si>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</si>
  <si>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</si>
  <si>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</si>
  <si>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</si>
  <si>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</si>
  <si>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</si>
  <si>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</si>
  <si>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</si>
  <si>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</si>
  <si>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</si>
  <si>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</si>
  <si>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</si>
  <si>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</si>
  <si>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</si>
  <si>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</si>
  <si>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</si>
  <si>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</si>
  <si>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</si>
  <si>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</si>
  <si>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</si>
  <si>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</si>
  <si>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</si>
  <si>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</si>
  <si>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</si>
  <si>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</si>
  <si>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</si>
  <si>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</si>
  <si>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</si>
  <si>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</si>
  <si>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>} TFtdiTxDataControl;</t>
  </si>
  <si>
    <t xml:space="preserve"> /* FTDI Tx Data Status Register Struct */</t>
  </si>
  <si>
    <t>typedef struct FtdiTxDataStatus {</t>
  </si>
  <si>
    <t xml:space="preserve">  bool bTxRdBusy; /* Tx Data Read Busy */</t>
  </si>
  <si>
    <t>} TFtdiTxDataStatus;</t>
  </si>
  <si>
    <t xml:space="preserve"> /* FTDI Rx Data Control Register Struct */</t>
  </si>
  <si>
    <t>typedef struct FtdiRxDataControl {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</si>
  <si>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</si>
  <si>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</si>
  <si>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</si>
  <si>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</si>
  <si>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</si>
  <si>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>} TFtdiRxDataControl;</t>
  </si>
  <si>
    <t xml:space="preserve"> /* FTDI Rx Data Status Register Struct */</t>
  </si>
  <si>
    <t>typedef struct FtdiRxDataStatus {</t>
  </si>
  <si>
    <t xml:space="preserve">  bool bRxWrBusy; /* Rx Data Write Busy */</t>
  </si>
  <si>
    <t>} TFtdiRxDataStatus;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</si>
  <si>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</si>
  <si>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</si>
  <si>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</si>
  <si>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</si>
  <si>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FTDI Payload Delay Register</t>
  </si>
  <si>
    <t>Rx Payload Reader Qqword Delay</t>
  </si>
  <si>
    <t>Tx Payload Writer Qqword Delay</t>
  </si>
  <si>
    <t>rx_payload_reader_qqword_delay</t>
  </si>
  <si>
    <t>tx_payload_writer_qqword_delay</t>
  </si>
  <si>
    <t>FtdiPayloadDelay</t>
  </si>
  <si>
    <t>payload_delay_reg</t>
  </si>
  <si>
    <t>t_ftdi_payload_delay_wr_reg</t>
  </si>
  <si>
    <t>usiRxPayRdQqwordDly</t>
  </si>
  <si>
    <t>usiTxPayWrQqwordDly</t>
  </si>
  <si>
    <t>constant c_AVALON_MM_CONFIG_MIN_ADDR : natural range 0 to 255 := 16#83#;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</si>
  <si>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</si>
  <si>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</si>
  <si>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</si>
  <si>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</si>
  <si>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</si>
  <si>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</si>
  <si>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</si>
  <si>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</si>
  <si>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</si>
  <si>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</si>
  <si>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</si>
  <si>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</si>
  <si>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(16#83#) =&gt;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</si>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</sst>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4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288</v>
      </c>
      <c r="C4" s="3" t="s">
        <v>289</v>
      </c>
      <c r="D4" s="3" t="s">
        <v>1</v>
      </c>
      <c r="E4" s="3" t="s">
        <v>223</v>
      </c>
      <c r="F4" s="3" t="s">
        <v>290</v>
      </c>
      <c r="G4" s="3" t="s">
        <v>291</v>
      </c>
      <c r="H4" s="3" t="s">
        <v>292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293</v>
      </c>
      <c r="O4" s="3" t="s">
        <v>294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288</v>
      </c>
      <c r="C5" s="3" t="s">
        <v>295</v>
      </c>
      <c r="D5" s="3" t="s">
        <v>1</v>
      </c>
      <c r="E5" s="3" t="s">
        <v>223</v>
      </c>
      <c r="F5" s="3" t="s">
        <v>290</v>
      </c>
      <c r="G5" s="3" t="s">
        <v>291</v>
      </c>
      <c r="H5" s="3" t="s">
        <v>296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293</v>
      </c>
      <c r="O5" s="3" t="s">
        <v>297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288</v>
      </c>
      <c r="C6" s="3" t="s">
        <v>298</v>
      </c>
      <c r="D6" s="3" t="s">
        <v>1</v>
      </c>
      <c r="E6" s="3" t="s">
        <v>223</v>
      </c>
      <c r="F6" s="3" t="s">
        <v>290</v>
      </c>
      <c r="G6" s="3" t="s">
        <v>291</v>
      </c>
      <c r="H6" s="3" t="s">
        <v>299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293</v>
      </c>
      <c r="O6" s="3" t="s">
        <v>300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/>
      </c>
      <c r="AD6" s="3" t="str">
        <f t="shared" ref="AD6:AD7" si="19">IF(Z6="","",CONCATENATE("(",IF($J6=1,"0)",CONCATENATE(IF($J6&gt;=8,8,$J6)-1," downto 0)"))))</f>
        <v>(0)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288</v>
      </c>
      <c r="C7" s="3" t="s">
        <v>301</v>
      </c>
      <c r="D7" s="3" t="s">
        <v>1</v>
      </c>
      <c r="E7" s="3" t="s">
        <v>223</v>
      </c>
      <c r="F7" s="3" t="s">
        <v>290</v>
      </c>
      <c r="G7" s="3" t="s">
        <v>291</v>
      </c>
      <c r="H7" s="3" t="s">
        <v>302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293</v>
      </c>
      <c r="O7" s="3" t="s">
        <v>303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221</v>
      </c>
      <c r="C8" s="3" t="s">
        <v>222</v>
      </c>
      <c r="D8" s="3" t="s">
        <v>1</v>
      </c>
      <c r="E8" s="3" t="s">
        <v>223</v>
      </c>
      <c r="F8" s="3" t="s">
        <v>224</v>
      </c>
      <c r="G8" s="3" t="s">
        <v>225</v>
      </c>
      <c r="H8" s="3" t="s">
        <v>226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228</v>
      </c>
      <c r="O8" s="3" t="s">
        <v>229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71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1" si="25">IF(W8="","",CONCATENATE("(",IF(($J8-COUNTIF($X8:$Z8,"X")*8)=1,"24)",CONCATENATE(IF(($J8-COUNTIF($X8:$Z8,"X")*8)&gt;=8,32,($J8-COUNTIF($X8:$Z8,"X")*8)+24)-1," downto 24)"))))</f>
        <v/>
      </c>
      <c r="AB8" s="3" t="str">
        <f t="shared" ref="AB8:AB71" si="26">IF(X8="","",CONCATENATE("(",IF(($J8-COUNTIF($Y8:$Z8,"X")*8)=1,"16)",CONCATENATE(IF(($J8-COUNTIF($Y8:$Z8,"X")*8)&gt;=8,24,($J8-COUNTIF($Y8:$Z8,"X")*8)+16)-1," downto 16)"))))</f>
        <v/>
      </c>
      <c r="AC8" s="3" t="str">
        <f t="shared" ref="AC8:AC71" si="27">IF(Y8="","",CONCATENATE("(",IF(($J8-COUNTIF($Z8,"X")*8)=1,"8)",CONCATENATE(IF(($J8-COUNTIF($Z8,"X")*8)&gt;=8,16,($J8-COUNTIF($Z8,"X")*8)+8)-1," downto 8)"))))</f>
        <v/>
      </c>
      <c r="AD8" s="3" t="str">
        <f t="shared" ref="AD8:AD71" si="28">IF(Z8="","",CONCATENATE("(",IF($J8=1,"0)",CONCATENATE(IF($J8&gt;=8,8,$J8)-1," downto 0)"))))</f>
        <v>(0)</v>
      </c>
      <c r="AE8" s="3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1" si="32">IF(Z8="","",IF($J8&lt;=8,"",CONCATENATE("(",IF($J8&gt;=8,7,$J8-1)," downto ",0,")")))</f>
        <v/>
      </c>
    </row>
    <row r="9" spans="1:35" x14ac:dyDescent="0.25">
      <c r="B9" s="3" t="s">
        <v>230</v>
      </c>
      <c r="C9" s="3" t="s">
        <v>231</v>
      </c>
      <c r="D9" s="3" t="s">
        <v>1</v>
      </c>
      <c r="E9" s="3" t="s">
        <v>223</v>
      </c>
      <c r="F9" s="3" t="s">
        <v>232</v>
      </c>
      <c r="G9" s="3" t="s">
        <v>233</v>
      </c>
      <c r="H9" s="3" t="s">
        <v>234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235</v>
      </c>
      <c r="O9" s="3" t="s">
        <v>236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237</v>
      </c>
      <c r="D10" s="3" t="s">
        <v>1</v>
      </c>
      <c r="E10" s="3" t="s">
        <v>223</v>
      </c>
      <c r="F10" s="3" t="s">
        <v>232</v>
      </c>
      <c r="G10" s="3" t="s">
        <v>233</v>
      </c>
      <c r="H10" s="3" t="s">
        <v>238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235</v>
      </c>
      <c r="O10" s="3" t="s">
        <v>239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230</v>
      </c>
      <c r="C11" s="3" t="s">
        <v>240</v>
      </c>
      <c r="D11" s="3" t="s">
        <v>1</v>
      </c>
      <c r="E11" s="3" t="s">
        <v>223</v>
      </c>
      <c r="F11" s="3" t="s">
        <v>232</v>
      </c>
      <c r="G11" s="3" t="s">
        <v>233</v>
      </c>
      <c r="H11" s="3" t="s">
        <v>241</v>
      </c>
      <c r="I11" s="3" t="s">
        <v>42</v>
      </c>
      <c r="J11" s="3">
        <v>1</v>
      </c>
      <c r="K11" s="3" t="s">
        <v>82</v>
      </c>
      <c r="L11" s="3" t="s">
        <v>41</v>
      </c>
      <c r="M11" s="3" t="s">
        <v>227</v>
      </c>
      <c r="N11" s="3" t="s">
        <v>235</v>
      </c>
      <c r="O11" s="3" t="s">
        <v>242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230</v>
      </c>
      <c r="C12" s="3" t="s">
        <v>243</v>
      </c>
      <c r="D12" s="3" t="s">
        <v>1</v>
      </c>
      <c r="E12" s="3" t="s">
        <v>223</v>
      </c>
      <c r="F12" s="3" t="s">
        <v>232</v>
      </c>
      <c r="G12" s="3" t="s">
        <v>233</v>
      </c>
      <c r="H12" s="3" t="s">
        <v>244</v>
      </c>
      <c r="I12" s="3" t="s">
        <v>42</v>
      </c>
      <c r="J12" s="3">
        <v>1</v>
      </c>
      <c r="K12" s="3" t="s">
        <v>82</v>
      </c>
      <c r="L12" s="3" t="s">
        <v>41</v>
      </c>
      <c r="M12" s="3" t="s">
        <v>227</v>
      </c>
      <c r="N12" s="3" t="s">
        <v>235</v>
      </c>
      <c r="O12" s="3" t="s">
        <v>245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230</v>
      </c>
      <c r="C13" s="3" t="s">
        <v>246</v>
      </c>
      <c r="D13" s="3" t="s">
        <v>1</v>
      </c>
      <c r="E13" s="3" t="s">
        <v>223</v>
      </c>
      <c r="F13" s="3" t="s">
        <v>232</v>
      </c>
      <c r="G13" s="3" t="s">
        <v>233</v>
      </c>
      <c r="H13" s="3" t="s">
        <v>247</v>
      </c>
      <c r="I13" s="3" t="s">
        <v>42</v>
      </c>
      <c r="J13" s="3">
        <v>1</v>
      </c>
      <c r="K13" s="3" t="s">
        <v>82</v>
      </c>
      <c r="L13" s="3" t="s">
        <v>41</v>
      </c>
      <c r="M13" s="3" t="s">
        <v>227</v>
      </c>
      <c r="N13" s="3" t="s">
        <v>235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249</v>
      </c>
      <c r="C14" s="3" t="s">
        <v>250</v>
      </c>
      <c r="D14" s="3" t="s">
        <v>0</v>
      </c>
      <c r="E14" s="3" t="s">
        <v>251</v>
      </c>
      <c r="F14" s="3" t="s">
        <v>252</v>
      </c>
      <c r="G14" s="3" t="s">
        <v>253</v>
      </c>
      <c r="H14" s="3" t="s">
        <v>254</v>
      </c>
      <c r="I14" s="3" t="s">
        <v>42</v>
      </c>
      <c r="J14" s="3">
        <v>1</v>
      </c>
      <c r="K14" s="3" t="s">
        <v>41</v>
      </c>
      <c r="L14" s="3" t="s">
        <v>41</v>
      </c>
      <c r="M14" s="3" t="s">
        <v>227</v>
      </c>
      <c r="N14" s="3" t="s">
        <v>255</v>
      </c>
      <c r="O14" s="3" t="s">
        <v>256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249</v>
      </c>
      <c r="C15" s="3" t="s">
        <v>257</v>
      </c>
      <c r="D15" s="3" t="s">
        <v>0</v>
      </c>
      <c r="E15" s="3" t="s">
        <v>251</v>
      </c>
      <c r="F15" s="3" t="s">
        <v>252</v>
      </c>
      <c r="G15" s="3" t="s">
        <v>253</v>
      </c>
      <c r="H15" s="3" t="s">
        <v>258</v>
      </c>
      <c r="I15" s="3" t="s">
        <v>42</v>
      </c>
      <c r="J15" s="3">
        <v>1</v>
      </c>
      <c r="K15" s="3" t="s">
        <v>41</v>
      </c>
      <c r="L15" s="3" t="s">
        <v>41</v>
      </c>
      <c r="M15" s="3" t="s">
        <v>227</v>
      </c>
      <c r="N15" s="3" t="s">
        <v>255</v>
      </c>
      <c r="O15" s="3" t="s">
        <v>259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249</v>
      </c>
      <c r="C16" s="3" t="s">
        <v>260</v>
      </c>
      <c r="D16" s="3" t="s">
        <v>0</v>
      </c>
      <c r="E16" s="3" t="s">
        <v>251</v>
      </c>
      <c r="F16" s="3" t="s">
        <v>252</v>
      </c>
      <c r="G16" s="3" t="s">
        <v>253</v>
      </c>
      <c r="H16" s="3" t="s">
        <v>261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255</v>
      </c>
      <c r="O16" s="3" t="s">
        <v>262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249</v>
      </c>
      <c r="C17" s="3" t="s">
        <v>263</v>
      </c>
      <c r="D17" s="3" t="s">
        <v>0</v>
      </c>
      <c r="E17" s="3" t="s">
        <v>251</v>
      </c>
      <c r="F17" s="3" t="s">
        <v>252</v>
      </c>
      <c r="G17" s="3" t="s">
        <v>253</v>
      </c>
      <c r="H17" s="3" t="s">
        <v>264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255</v>
      </c>
      <c r="O17" s="3" t="s">
        <v>265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249</v>
      </c>
      <c r="C18" s="3" t="s">
        <v>266</v>
      </c>
      <c r="D18" s="3" t="s">
        <v>0</v>
      </c>
      <c r="E18" s="3" t="s">
        <v>251</v>
      </c>
      <c r="F18" s="3" t="s">
        <v>252</v>
      </c>
      <c r="G18" s="3" t="s">
        <v>253</v>
      </c>
      <c r="H18" s="3" t="s">
        <v>267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227</v>
      </c>
      <c r="N18" s="3" t="s">
        <v>255</v>
      </c>
      <c r="O18" s="3" t="s">
        <v>268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269</v>
      </c>
      <c r="C19" s="3" t="s">
        <v>270</v>
      </c>
      <c r="D19" s="3" t="s">
        <v>1</v>
      </c>
      <c r="E19" s="3" t="s">
        <v>223</v>
      </c>
      <c r="F19" s="3" t="s">
        <v>271</v>
      </c>
      <c r="G19" s="3" t="s">
        <v>272</v>
      </c>
      <c r="H19" s="3" t="s">
        <v>273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274</v>
      </c>
      <c r="O19" s="3" t="s">
        <v>275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269</v>
      </c>
      <c r="C20" s="3" t="s">
        <v>276</v>
      </c>
      <c r="D20" s="3" t="s">
        <v>1</v>
      </c>
      <c r="E20" s="3" t="s">
        <v>223</v>
      </c>
      <c r="F20" s="3" t="s">
        <v>271</v>
      </c>
      <c r="G20" s="3" t="s">
        <v>272</v>
      </c>
      <c r="H20" s="3" t="s">
        <v>277</v>
      </c>
      <c r="I20" s="3" t="s">
        <v>42</v>
      </c>
      <c r="J20" s="3">
        <v>1</v>
      </c>
      <c r="K20" s="3" t="s">
        <v>82</v>
      </c>
      <c r="L20" s="3" t="s">
        <v>82</v>
      </c>
      <c r="M20" s="3" t="s">
        <v>227</v>
      </c>
      <c r="N20" s="3" t="s">
        <v>274</v>
      </c>
      <c r="O20" s="3" t="s">
        <v>278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269</v>
      </c>
      <c r="C21" s="3" t="s">
        <v>279</v>
      </c>
      <c r="D21" s="3" t="s">
        <v>1</v>
      </c>
      <c r="E21" s="3" t="s">
        <v>223</v>
      </c>
      <c r="F21" s="3" t="s">
        <v>271</v>
      </c>
      <c r="G21" s="3" t="s">
        <v>272</v>
      </c>
      <c r="H21" s="3" t="s">
        <v>280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274</v>
      </c>
      <c r="O21" s="3" t="s">
        <v>281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269</v>
      </c>
      <c r="C22" s="3" t="s">
        <v>282</v>
      </c>
      <c r="D22" s="3" t="s">
        <v>1</v>
      </c>
      <c r="E22" s="3" t="s">
        <v>223</v>
      </c>
      <c r="F22" s="3" t="s">
        <v>271</v>
      </c>
      <c r="G22" s="3" t="s">
        <v>272</v>
      </c>
      <c r="H22" s="3" t="s">
        <v>283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274</v>
      </c>
      <c r="O22" s="3" t="s">
        <v>284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269</v>
      </c>
      <c r="C23" s="3" t="s">
        <v>285</v>
      </c>
      <c r="D23" s="3" t="s">
        <v>1</v>
      </c>
      <c r="E23" s="3" t="s">
        <v>223</v>
      </c>
      <c r="F23" s="3" t="s">
        <v>271</v>
      </c>
      <c r="G23" s="3" t="s">
        <v>272</v>
      </c>
      <c r="H23" s="3" t="s">
        <v>286</v>
      </c>
      <c r="I23" s="3" t="s">
        <v>42</v>
      </c>
      <c r="J23" s="3">
        <v>1</v>
      </c>
      <c r="K23" s="3" t="s">
        <v>82</v>
      </c>
      <c r="L23" s="3" t="s">
        <v>82</v>
      </c>
      <c r="M23" s="3" t="s">
        <v>227</v>
      </c>
      <c r="N23" s="3" t="s">
        <v>274</v>
      </c>
      <c r="O23" s="3" t="s">
        <v>287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960</v>
      </c>
      <c r="C24" s="3" t="s">
        <v>1199</v>
      </c>
      <c r="D24" s="3" t="s">
        <v>1</v>
      </c>
      <c r="E24" s="3" t="s">
        <v>223</v>
      </c>
      <c r="F24" s="3" t="s">
        <v>966</v>
      </c>
      <c r="G24" s="3" t="s">
        <v>969</v>
      </c>
      <c r="H24" s="3" t="s">
        <v>1205</v>
      </c>
      <c r="I24" s="3" t="s">
        <v>42</v>
      </c>
      <c r="J24" s="3">
        <v>1</v>
      </c>
      <c r="K24" s="3" t="s">
        <v>82</v>
      </c>
      <c r="L24" s="3" t="s">
        <v>41</v>
      </c>
      <c r="M24" s="3" t="s">
        <v>227</v>
      </c>
      <c r="N24" s="3" t="s">
        <v>961</v>
      </c>
      <c r="O24" s="3" t="s">
        <v>1211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960</v>
      </c>
      <c r="C25" s="3" t="s">
        <v>1200</v>
      </c>
      <c r="D25" s="3" t="s">
        <v>1</v>
      </c>
      <c r="E25" s="3" t="s">
        <v>223</v>
      </c>
      <c r="F25" s="3" t="s">
        <v>966</v>
      </c>
      <c r="G25" s="3" t="s">
        <v>969</v>
      </c>
      <c r="H25" s="3" t="s">
        <v>1206</v>
      </c>
      <c r="I25" s="3" t="s">
        <v>42</v>
      </c>
      <c r="J25" s="3">
        <v>1</v>
      </c>
      <c r="K25" s="3" t="s">
        <v>82</v>
      </c>
      <c r="L25" s="3" t="s">
        <v>41</v>
      </c>
      <c r="M25" s="3" t="s">
        <v>227</v>
      </c>
      <c r="N25" s="3" t="s">
        <v>961</v>
      </c>
      <c r="O25" s="3" t="s">
        <v>1212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964</v>
      </c>
      <c r="C26" s="3" t="s">
        <v>1201</v>
      </c>
      <c r="D26" s="3" t="s">
        <v>0</v>
      </c>
      <c r="E26" s="3" t="s">
        <v>251</v>
      </c>
      <c r="F26" s="3" t="s">
        <v>967</v>
      </c>
      <c r="G26" s="3" t="s">
        <v>970</v>
      </c>
      <c r="H26" s="3" t="s">
        <v>1207</v>
      </c>
      <c r="I26" s="3" t="s">
        <v>42</v>
      </c>
      <c r="J26" s="3">
        <v>1</v>
      </c>
      <c r="K26" s="3" t="s">
        <v>41</v>
      </c>
      <c r="L26" s="3" t="s">
        <v>41</v>
      </c>
      <c r="M26" s="3" t="s">
        <v>227</v>
      </c>
      <c r="N26" s="3" t="s">
        <v>962</v>
      </c>
      <c r="O26" s="3" t="s">
        <v>1213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964</v>
      </c>
      <c r="C27" s="3" t="s">
        <v>1202</v>
      </c>
      <c r="D27" s="3" t="s">
        <v>0</v>
      </c>
      <c r="E27" s="3" t="s">
        <v>251</v>
      </c>
      <c r="F27" s="3" t="s">
        <v>967</v>
      </c>
      <c r="G27" s="3" t="s">
        <v>970</v>
      </c>
      <c r="H27" s="3" t="s">
        <v>1208</v>
      </c>
      <c r="I27" s="3" t="s">
        <v>42</v>
      </c>
      <c r="J27" s="3">
        <v>1</v>
      </c>
      <c r="K27" s="3" t="s">
        <v>41</v>
      </c>
      <c r="L27" s="3" t="s">
        <v>41</v>
      </c>
      <c r="M27" s="3" t="s">
        <v>227</v>
      </c>
      <c r="N27" s="3" t="s">
        <v>962</v>
      </c>
      <c r="O27" s="3" t="s">
        <v>1214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965</v>
      </c>
      <c r="C28" s="3" t="s">
        <v>1203</v>
      </c>
      <c r="D28" s="3" t="s">
        <v>1</v>
      </c>
      <c r="E28" s="3" t="s">
        <v>223</v>
      </c>
      <c r="F28" s="3" t="s">
        <v>968</v>
      </c>
      <c r="G28" s="3" t="s">
        <v>971</v>
      </c>
      <c r="H28" s="3" t="s">
        <v>1209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963</v>
      </c>
      <c r="O28" s="3" t="s">
        <v>1215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965</v>
      </c>
      <c r="C29" s="3" t="s">
        <v>1204</v>
      </c>
      <c r="D29" s="3" t="s">
        <v>1</v>
      </c>
      <c r="E29" s="3" t="s">
        <v>223</v>
      </c>
      <c r="F29" s="3" t="s">
        <v>968</v>
      </c>
      <c r="G29" s="3" t="s">
        <v>971</v>
      </c>
      <c r="H29" s="3" t="s">
        <v>1210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963</v>
      </c>
      <c r="O29" s="3" t="s">
        <v>1216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304</v>
      </c>
      <c r="C30" s="3" t="s">
        <v>305</v>
      </c>
      <c r="D30" s="3" t="s">
        <v>1</v>
      </c>
      <c r="E30" s="3" t="s">
        <v>223</v>
      </c>
      <c r="F30" s="3" t="s">
        <v>306</v>
      </c>
      <c r="G30" s="3" t="s">
        <v>307</v>
      </c>
      <c r="H30" s="3" t="s">
        <v>308</v>
      </c>
      <c r="I30" s="3" t="s">
        <v>42</v>
      </c>
      <c r="J30" s="3">
        <v>16</v>
      </c>
      <c r="K30" s="3" t="s">
        <v>84</v>
      </c>
      <c r="L30" s="3" t="s">
        <v>41</v>
      </c>
      <c r="M30" s="3" t="s">
        <v>227</v>
      </c>
      <c r="N30" s="3" t="s">
        <v>309</v>
      </c>
      <c r="O30" s="3" t="s">
        <v>310</v>
      </c>
      <c r="P30" s="3" t="s">
        <v>50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>(15 downto 8)</v>
      </c>
      <c r="AD30" s="3" t="str">
        <f t="shared" si="28"/>
        <v>(7 downto 0)</v>
      </c>
      <c r="AE30" s="3" t="str">
        <f t="shared" si="29"/>
        <v/>
      </c>
      <c r="AF30" s="3" t="str">
        <f t="shared" si="30"/>
        <v/>
      </c>
      <c r="AG30" s="3" t="str">
        <f t="shared" si="31"/>
        <v>(15 downto 8)</v>
      </c>
      <c r="AH30" s="3" t="str">
        <f t="shared" si="32"/>
        <v>(7 downto 0)</v>
      </c>
    </row>
    <row r="31" spans="2:34" x14ac:dyDescent="0.25">
      <c r="B31" s="3" t="s">
        <v>304</v>
      </c>
      <c r="C31" s="3" t="s">
        <v>311</v>
      </c>
      <c r="D31" s="3" t="s">
        <v>1</v>
      </c>
      <c r="E31" s="3" t="s">
        <v>223</v>
      </c>
      <c r="F31" s="3" t="s">
        <v>306</v>
      </c>
      <c r="G31" s="3" t="s">
        <v>307</v>
      </c>
      <c r="H31" s="3" t="s">
        <v>312</v>
      </c>
      <c r="I31" s="3" t="s">
        <v>42</v>
      </c>
      <c r="J31" s="3">
        <v>3</v>
      </c>
      <c r="K31" s="3" t="s">
        <v>313</v>
      </c>
      <c r="L31" s="3" t="s">
        <v>41</v>
      </c>
      <c r="M31" s="3" t="s">
        <v>227</v>
      </c>
      <c r="N31" s="3" t="s">
        <v>309</v>
      </c>
      <c r="O31" s="3" t="s">
        <v>314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106</v>
      </c>
      <c r="T31" s="3" t="str">
        <f t="shared" si="0"/>
        <v>06A</v>
      </c>
      <c r="U31" s="3">
        <f t="shared" si="24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>X</v>
      </c>
      <c r="Y31" s="3" t="str">
        <f t="shared" si="13"/>
        <v/>
      </c>
      <c r="Z31" s="3" t="str">
        <f t="shared" si="14"/>
        <v/>
      </c>
      <c r="AA31" s="3" t="str">
        <f t="shared" si="25"/>
        <v/>
      </c>
      <c r="AB31" s="3" t="str">
        <f t="shared" si="26"/>
        <v>(18 downto 16)</v>
      </c>
      <c r="AC31" s="3" t="str">
        <f t="shared" si="27"/>
        <v/>
      </c>
      <c r="AD31" s="3" t="str">
        <f t="shared" si="28"/>
        <v/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304</v>
      </c>
      <c r="C32" s="3" t="s">
        <v>315</v>
      </c>
      <c r="D32" s="3" t="s">
        <v>1</v>
      </c>
      <c r="E32" s="3" t="s">
        <v>223</v>
      </c>
      <c r="F32" s="3" t="s">
        <v>306</v>
      </c>
      <c r="G32" s="3" t="s">
        <v>307</v>
      </c>
      <c r="H32" s="3" t="s">
        <v>316</v>
      </c>
      <c r="I32" s="3" t="s">
        <v>42</v>
      </c>
      <c r="J32" s="3">
        <v>2</v>
      </c>
      <c r="K32" s="3" t="s">
        <v>83</v>
      </c>
      <c r="L32" s="3" t="s">
        <v>41</v>
      </c>
      <c r="M32" s="3" t="s">
        <v>227</v>
      </c>
      <c r="N32" s="3" t="s">
        <v>309</v>
      </c>
      <c r="O32" s="3" t="s">
        <v>317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107</v>
      </c>
      <c r="T32" s="3" t="str">
        <f t="shared" si="0"/>
        <v>06B</v>
      </c>
      <c r="U32" s="3">
        <f t="shared" si="24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25"/>
        <v>(25 downto 24)</v>
      </c>
      <c r="AB32" s="3" t="str">
        <f t="shared" si="26"/>
        <v/>
      </c>
      <c r="AC32" s="3" t="str">
        <f t="shared" si="27"/>
        <v/>
      </c>
      <c r="AD32" s="3" t="str">
        <f t="shared" si="28"/>
        <v/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304</v>
      </c>
      <c r="C33" s="3" t="s">
        <v>318</v>
      </c>
      <c r="D33" s="3" t="s">
        <v>1</v>
      </c>
      <c r="E33" s="3" t="s">
        <v>223</v>
      </c>
      <c r="F33" s="3" t="s">
        <v>306</v>
      </c>
      <c r="G33" s="3" t="s">
        <v>307</v>
      </c>
      <c r="H33" s="3" t="s">
        <v>319</v>
      </c>
      <c r="I33" s="3" t="s">
        <v>42</v>
      </c>
      <c r="J33" s="3">
        <v>1</v>
      </c>
      <c r="K33" s="3" t="s">
        <v>82</v>
      </c>
      <c r="L33" s="3" t="s">
        <v>41</v>
      </c>
      <c r="M33" s="3" t="s">
        <v>227</v>
      </c>
      <c r="N33" s="3" t="s">
        <v>309</v>
      </c>
      <c r="O33" s="3" t="s">
        <v>320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304</v>
      </c>
      <c r="C34" s="3" t="s">
        <v>321</v>
      </c>
      <c r="D34" s="3" t="s">
        <v>1</v>
      </c>
      <c r="E34" s="3" t="s">
        <v>223</v>
      </c>
      <c r="F34" s="3" t="s">
        <v>306</v>
      </c>
      <c r="G34" s="3" t="s">
        <v>307</v>
      </c>
      <c r="H34" s="3" t="s">
        <v>322</v>
      </c>
      <c r="I34" s="3" t="s">
        <v>42</v>
      </c>
      <c r="J34" s="3">
        <v>13</v>
      </c>
      <c r="K34" s="3" t="s">
        <v>323</v>
      </c>
      <c r="L34" s="3" t="s">
        <v>41</v>
      </c>
      <c r="M34" s="3" t="s">
        <v>227</v>
      </c>
      <c r="N34" s="3" t="s">
        <v>309</v>
      </c>
      <c r="O34" s="3" t="s">
        <v>324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110</v>
      </c>
      <c r="T34" s="3" t="str">
        <f t="shared" si="0"/>
        <v>06E</v>
      </c>
      <c r="U34" s="3">
        <f t="shared" si="24"/>
        <v>27</v>
      </c>
      <c r="V34" s="3" t="str">
        <f t="shared" si="1"/>
        <v>1B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25"/>
        <v>(28 downto 24)</v>
      </c>
      <c r="AB34" s="3" t="str">
        <f t="shared" si="26"/>
        <v>(23 downto 16)</v>
      </c>
      <c r="AC34" s="3" t="str">
        <f t="shared" si="27"/>
        <v/>
      </c>
      <c r="AD34" s="3" t="str">
        <f t="shared" si="28"/>
        <v/>
      </c>
      <c r="AE34" s="3" t="str">
        <f t="shared" si="29"/>
        <v>(12 downto 8)</v>
      </c>
      <c r="AF34" s="3" t="str">
        <f t="shared" si="30"/>
        <v>(7 downto 0)</v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304</v>
      </c>
      <c r="C35" s="3" t="s">
        <v>325</v>
      </c>
      <c r="D35" s="3" t="s">
        <v>1</v>
      </c>
      <c r="E35" s="3" t="s">
        <v>223</v>
      </c>
      <c r="F35" s="3" t="s">
        <v>306</v>
      </c>
      <c r="G35" s="3" t="s">
        <v>307</v>
      </c>
      <c r="H35" s="3" t="s">
        <v>326</v>
      </c>
      <c r="I35" s="3" t="s">
        <v>42</v>
      </c>
      <c r="J35" s="3">
        <v>12</v>
      </c>
      <c r="K35" s="3" t="s">
        <v>327</v>
      </c>
      <c r="L35" s="3" t="s">
        <v>41</v>
      </c>
      <c r="M35" s="3" t="s">
        <v>227</v>
      </c>
      <c r="N35" s="3" t="s">
        <v>309</v>
      </c>
      <c r="O35" s="3" t="s">
        <v>328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112</v>
      </c>
      <c r="T35" s="3" t="str">
        <f t="shared" si="0"/>
        <v>070</v>
      </c>
      <c r="U35" s="3">
        <f t="shared" si="24"/>
        <v>28</v>
      </c>
      <c r="V35" s="3" t="str">
        <f t="shared" si="1"/>
        <v>1C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(11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(11 downto 8)</v>
      </c>
      <c r="AH35" s="3" t="str">
        <f t="shared" si="32"/>
        <v>(7 downto 0)</v>
      </c>
    </row>
    <row r="36" spans="2:34" x14ac:dyDescent="0.25">
      <c r="B36" s="3" t="s">
        <v>304</v>
      </c>
      <c r="C36" s="3" t="s">
        <v>329</v>
      </c>
      <c r="D36" s="3" t="s">
        <v>1</v>
      </c>
      <c r="E36" s="3" t="s">
        <v>223</v>
      </c>
      <c r="F36" s="3" t="s">
        <v>306</v>
      </c>
      <c r="G36" s="3" t="s">
        <v>307</v>
      </c>
      <c r="H36" s="3" t="s">
        <v>330</v>
      </c>
      <c r="I36" s="3" t="s">
        <v>42</v>
      </c>
      <c r="J36" s="3">
        <v>16</v>
      </c>
      <c r="K36" s="3" t="s">
        <v>84</v>
      </c>
      <c r="L36" s="3" t="s">
        <v>41</v>
      </c>
      <c r="M36" s="3" t="s">
        <v>227</v>
      </c>
      <c r="N36" s="3" t="s">
        <v>309</v>
      </c>
      <c r="O36" s="3" t="s">
        <v>331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$S35+$R35+INDEX(Tables!$N$5:$Q$8,MATCH(MOD($S35+$R35,4),Tables!$M$5:$M$8,0),MATCH($R36,Tables!$N$4:$Q$4,0))</f>
        <v>114</v>
      </c>
      <c r="T36" s="3" t="str">
        <f t="shared" si="0"/>
        <v>072</v>
      </c>
      <c r="U36" s="3">
        <f t="shared" si="24"/>
        <v>28</v>
      </c>
      <c r="V36" s="3" t="str">
        <f t="shared" si="1"/>
        <v>1C</v>
      </c>
      <c r="W36" s="3" t="str">
        <f t="shared" si="11"/>
        <v>X</v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/>
      </c>
      <c r="AD36" s="3" t="str">
        <f t="shared" si="28"/>
        <v/>
      </c>
      <c r="AE36" s="3" t="str">
        <f t="shared" si="29"/>
        <v>(15 downto 8)</v>
      </c>
      <c r="AF36" s="3" t="str">
        <f t="shared" si="30"/>
        <v>(7 downto 0)</v>
      </c>
      <c r="AG36" s="3" t="str">
        <f t="shared" si="31"/>
        <v/>
      </c>
      <c r="AH36" s="3" t="str">
        <f t="shared" si="32"/>
        <v/>
      </c>
    </row>
    <row r="37" spans="2:34" ht="14.25" customHeight="1" x14ac:dyDescent="0.25">
      <c r="B37" s="3" t="s">
        <v>304</v>
      </c>
      <c r="C37" s="3" t="s">
        <v>332</v>
      </c>
      <c r="D37" s="3" t="s">
        <v>1</v>
      </c>
      <c r="E37" s="3" t="s">
        <v>223</v>
      </c>
      <c r="F37" s="3" t="s">
        <v>306</v>
      </c>
      <c r="G37" s="3" t="s">
        <v>307</v>
      </c>
      <c r="H37" s="3" t="s">
        <v>333</v>
      </c>
      <c r="I37" s="3" t="s">
        <v>42</v>
      </c>
      <c r="J37" s="3">
        <v>1</v>
      </c>
      <c r="K37" s="3" t="s">
        <v>82</v>
      </c>
      <c r="L37" s="3" t="s">
        <v>82</v>
      </c>
      <c r="M37" s="3" t="s">
        <v>227</v>
      </c>
      <c r="N37" s="3" t="s">
        <v>309</v>
      </c>
      <c r="O37" s="3" t="s">
        <v>334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116</v>
      </c>
      <c r="T37" s="3" t="str">
        <f t="shared" si="0"/>
        <v>074</v>
      </c>
      <c r="U37" s="3">
        <f t="shared" si="24"/>
        <v>29</v>
      </c>
      <c r="V37" s="3" t="str">
        <f t="shared" si="1"/>
        <v>1D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304</v>
      </c>
      <c r="C38" s="3" t="s">
        <v>335</v>
      </c>
      <c r="D38" s="3" t="s">
        <v>1</v>
      </c>
      <c r="E38" s="3" t="s">
        <v>223</v>
      </c>
      <c r="F38" s="3" t="s">
        <v>306</v>
      </c>
      <c r="G38" s="3" t="s">
        <v>307</v>
      </c>
      <c r="H38" s="3" t="s">
        <v>336</v>
      </c>
      <c r="I38" s="3" t="s">
        <v>42</v>
      </c>
      <c r="J38" s="3">
        <v>1</v>
      </c>
      <c r="K38" s="3" t="s">
        <v>82</v>
      </c>
      <c r="L38" s="3" t="s">
        <v>82</v>
      </c>
      <c r="M38" s="3" t="s">
        <v>227</v>
      </c>
      <c r="N38" s="3" t="s">
        <v>309</v>
      </c>
      <c r="O38" s="3" t="s">
        <v>337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120</v>
      </c>
      <c r="T38" s="3" t="str">
        <f t="shared" si="0"/>
        <v>078</v>
      </c>
      <c r="U38" s="3">
        <f t="shared" si="24"/>
        <v>30</v>
      </c>
      <c r="V38" s="3" t="str">
        <f t="shared" si="1"/>
        <v>1E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304</v>
      </c>
      <c r="C39" s="3" t="s">
        <v>338</v>
      </c>
      <c r="D39" s="3" t="s">
        <v>1</v>
      </c>
      <c r="E39" s="3" t="s">
        <v>223</v>
      </c>
      <c r="F39" s="3" t="s">
        <v>306</v>
      </c>
      <c r="G39" s="3" t="s">
        <v>307</v>
      </c>
      <c r="H39" s="3" t="s">
        <v>339</v>
      </c>
      <c r="I39" s="3" t="s">
        <v>42</v>
      </c>
      <c r="J39" s="3">
        <v>1</v>
      </c>
      <c r="K39" s="3" t="s">
        <v>82</v>
      </c>
      <c r="L39" s="3" t="s">
        <v>82</v>
      </c>
      <c r="M39" s="3" t="s">
        <v>227</v>
      </c>
      <c r="N39" s="3" t="s">
        <v>309</v>
      </c>
      <c r="O39" s="3" t="s">
        <v>340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124</v>
      </c>
      <c r="T39" s="3" t="str">
        <f t="shared" si="0"/>
        <v>07C</v>
      </c>
      <c r="U39" s="3">
        <f t="shared" si="24"/>
        <v>31</v>
      </c>
      <c r="V39" s="3" t="str">
        <f t="shared" si="1"/>
        <v>1F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341</v>
      </c>
      <c r="C40" s="3" t="s">
        <v>311</v>
      </c>
      <c r="D40" s="3" t="s">
        <v>0</v>
      </c>
      <c r="E40" s="3" t="s">
        <v>251</v>
      </c>
      <c r="F40" s="3" t="s">
        <v>342</v>
      </c>
      <c r="G40" s="3" t="s">
        <v>343</v>
      </c>
      <c r="H40" s="3" t="s">
        <v>344</v>
      </c>
      <c r="I40" s="3" t="s">
        <v>42</v>
      </c>
      <c r="J40" s="3">
        <v>3</v>
      </c>
      <c r="K40" s="3" t="s">
        <v>41</v>
      </c>
      <c r="L40" s="3" t="s">
        <v>41</v>
      </c>
      <c r="M40" s="3" t="s">
        <v>227</v>
      </c>
      <c r="N40" s="3" t="s">
        <v>345</v>
      </c>
      <c r="O40" s="3" t="s">
        <v>314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128</v>
      </c>
      <c r="T40" s="3" t="str">
        <f t="shared" si="0"/>
        <v>080</v>
      </c>
      <c r="U40" s="3">
        <f t="shared" si="24"/>
        <v>32</v>
      </c>
      <c r="V40" s="3" t="str">
        <f t="shared" si="1"/>
        <v>20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341</v>
      </c>
      <c r="C41" s="3" t="s">
        <v>315</v>
      </c>
      <c r="D41" s="3" t="s">
        <v>0</v>
      </c>
      <c r="E41" s="3" t="s">
        <v>251</v>
      </c>
      <c r="F41" s="3" t="s">
        <v>342</v>
      </c>
      <c r="G41" s="3" t="s">
        <v>343</v>
      </c>
      <c r="H41" s="3" t="s">
        <v>346</v>
      </c>
      <c r="I41" s="3" t="s">
        <v>42</v>
      </c>
      <c r="J41" s="3">
        <v>2</v>
      </c>
      <c r="K41" s="3" t="s">
        <v>41</v>
      </c>
      <c r="L41" s="3" t="s">
        <v>41</v>
      </c>
      <c r="M41" s="3" t="s">
        <v>227</v>
      </c>
      <c r="N41" s="3" t="s">
        <v>345</v>
      </c>
      <c r="O41" s="3" t="s">
        <v>317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129</v>
      </c>
      <c r="T41" s="3" t="str">
        <f t="shared" si="0"/>
        <v>081</v>
      </c>
      <c r="U41" s="3">
        <f t="shared" si="24"/>
        <v>32</v>
      </c>
      <c r="V41" s="3" t="str">
        <f t="shared" si="1"/>
        <v>20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(9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341</v>
      </c>
      <c r="C42" s="3" t="s">
        <v>318</v>
      </c>
      <c r="D42" s="3" t="s">
        <v>0</v>
      </c>
      <c r="E42" s="3" t="s">
        <v>251</v>
      </c>
      <c r="F42" s="3" t="s">
        <v>342</v>
      </c>
      <c r="G42" s="3" t="s">
        <v>343</v>
      </c>
      <c r="H42" s="3" t="s">
        <v>347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345</v>
      </c>
      <c r="O42" s="3" t="s">
        <v>320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130</v>
      </c>
      <c r="T42" s="3" t="str">
        <f t="shared" si="0"/>
        <v>082</v>
      </c>
      <c r="U42" s="3">
        <f t="shared" si="24"/>
        <v>32</v>
      </c>
      <c r="V42" s="3" t="str">
        <f t="shared" si="1"/>
        <v>20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25"/>
        <v/>
      </c>
      <c r="AB42" s="3" t="str">
        <f t="shared" si="26"/>
        <v>(16)</v>
      </c>
      <c r="AC42" s="3" t="str">
        <f t="shared" si="27"/>
        <v/>
      </c>
      <c r="AD42" s="3" t="str">
        <f t="shared" si="28"/>
        <v/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341</v>
      </c>
      <c r="C43" s="3" t="s">
        <v>321</v>
      </c>
      <c r="D43" s="3" t="s">
        <v>0</v>
      </c>
      <c r="E43" s="3" t="s">
        <v>251</v>
      </c>
      <c r="F43" s="3" t="s">
        <v>342</v>
      </c>
      <c r="G43" s="3" t="s">
        <v>343</v>
      </c>
      <c r="H43" s="3" t="s">
        <v>348</v>
      </c>
      <c r="I43" s="3" t="s">
        <v>42</v>
      </c>
      <c r="J43" s="3">
        <v>13</v>
      </c>
      <c r="K43" s="3" t="s">
        <v>41</v>
      </c>
      <c r="L43" s="3" t="s">
        <v>41</v>
      </c>
      <c r="M43" s="3" t="s">
        <v>227</v>
      </c>
      <c r="N43" s="3" t="s">
        <v>345</v>
      </c>
      <c r="O43" s="3" t="s">
        <v>324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132</v>
      </c>
      <c r="T43" s="3" t="str">
        <f t="shared" si="0"/>
        <v>084</v>
      </c>
      <c r="U43" s="3">
        <f t="shared" si="24"/>
        <v>33</v>
      </c>
      <c r="V43" s="3" t="str">
        <f t="shared" si="1"/>
        <v>21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341</v>
      </c>
      <c r="C44" s="3" t="s">
        <v>325</v>
      </c>
      <c r="D44" s="3" t="s">
        <v>0</v>
      </c>
      <c r="E44" s="3" t="s">
        <v>251</v>
      </c>
      <c r="F44" s="3" t="s">
        <v>342</v>
      </c>
      <c r="G44" s="3" t="s">
        <v>343</v>
      </c>
      <c r="H44" s="3" t="s">
        <v>349</v>
      </c>
      <c r="I44" s="3" t="s">
        <v>42</v>
      </c>
      <c r="J44" s="3">
        <v>12</v>
      </c>
      <c r="K44" s="3" t="s">
        <v>41</v>
      </c>
      <c r="L44" s="3" t="s">
        <v>41</v>
      </c>
      <c r="M44" s="3" t="s">
        <v>227</v>
      </c>
      <c r="N44" s="3" t="s">
        <v>345</v>
      </c>
      <c r="O44" s="3" t="s">
        <v>328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134</v>
      </c>
      <c r="T44" s="3" t="str">
        <f t="shared" si="0"/>
        <v>086</v>
      </c>
      <c r="U44" s="3">
        <f t="shared" si="24"/>
        <v>33</v>
      </c>
      <c r="V44" s="3" t="str">
        <f t="shared" si="1"/>
        <v>21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25"/>
        <v>(27 downto 24)</v>
      </c>
      <c r="AB44" s="3" t="str">
        <f t="shared" si="26"/>
        <v>(23 downto 16)</v>
      </c>
      <c r="AC44" s="3" t="str">
        <f t="shared" si="27"/>
        <v/>
      </c>
      <c r="AD44" s="3" t="str">
        <f t="shared" si="28"/>
        <v/>
      </c>
      <c r="AE44" s="3" t="str">
        <f t="shared" si="29"/>
        <v>(11 downto 8)</v>
      </c>
      <c r="AF44" s="3" t="str">
        <f t="shared" si="30"/>
        <v>(7 downto 0)</v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341</v>
      </c>
      <c r="C45" s="3" t="s">
        <v>329</v>
      </c>
      <c r="D45" s="3" t="s">
        <v>0</v>
      </c>
      <c r="E45" s="3" t="s">
        <v>251</v>
      </c>
      <c r="F45" s="3" t="s">
        <v>342</v>
      </c>
      <c r="G45" s="3" t="s">
        <v>343</v>
      </c>
      <c r="H45" s="3" t="s">
        <v>350</v>
      </c>
      <c r="I45" s="3" t="s">
        <v>42</v>
      </c>
      <c r="J45" s="3">
        <v>16</v>
      </c>
      <c r="K45" s="3" t="s">
        <v>41</v>
      </c>
      <c r="L45" s="3" t="s">
        <v>41</v>
      </c>
      <c r="M45" s="3" t="s">
        <v>227</v>
      </c>
      <c r="N45" s="3" t="s">
        <v>345</v>
      </c>
      <c r="O45" s="3" t="s">
        <v>331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136</v>
      </c>
      <c r="T45" s="3" t="str">
        <f t="shared" si="0"/>
        <v>088</v>
      </c>
      <c r="U45" s="3">
        <f t="shared" si="24"/>
        <v>34</v>
      </c>
      <c r="V45" s="3" t="str">
        <f t="shared" si="1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341</v>
      </c>
      <c r="C46" s="3" t="s">
        <v>351</v>
      </c>
      <c r="D46" s="3" t="s">
        <v>0</v>
      </c>
      <c r="E46" s="3" t="s">
        <v>251</v>
      </c>
      <c r="F46" s="3" t="s">
        <v>342</v>
      </c>
      <c r="G46" s="3" t="s">
        <v>343</v>
      </c>
      <c r="H46" s="3" t="s">
        <v>352</v>
      </c>
      <c r="I46" s="3" t="s">
        <v>42</v>
      </c>
      <c r="J46" s="3">
        <v>32</v>
      </c>
      <c r="K46" s="3" t="s">
        <v>41</v>
      </c>
      <c r="L46" s="3" t="s">
        <v>41</v>
      </c>
      <c r="M46" s="3" t="s">
        <v>227</v>
      </c>
      <c r="N46" s="3" t="s">
        <v>345</v>
      </c>
      <c r="O46" s="3" t="s">
        <v>353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140</v>
      </c>
      <c r="T46" s="3" t="str">
        <f t="shared" si="0"/>
        <v>08C</v>
      </c>
      <c r="U46" s="3">
        <f t="shared" si="24"/>
        <v>35</v>
      </c>
      <c r="V46" s="3" t="str">
        <f t="shared" si="1"/>
        <v>23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341</v>
      </c>
      <c r="C47" s="3" t="s">
        <v>354</v>
      </c>
      <c r="D47" s="3" t="s">
        <v>0</v>
      </c>
      <c r="E47" s="3" t="s">
        <v>251</v>
      </c>
      <c r="F47" s="3" t="s">
        <v>342</v>
      </c>
      <c r="G47" s="3" t="s">
        <v>343</v>
      </c>
      <c r="H47" s="3" t="s">
        <v>355</v>
      </c>
      <c r="I47" s="3" t="s">
        <v>42</v>
      </c>
      <c r="J47" s="3">
        <v>1</v>
      </c>
      <c r="K47" s="3" t="s">
        <v>41</v>
      </c>
      <c r="L47" s="3" t="s">
        <v>41</v>
      </c>
      <c r="M47" s="3" t="s">
        <v>227</v>
      </c>
      <c r="N47" s="3" t="s">
        <v>345</v>
      </c>
      <c r="O47" s="3" t="s">
        <v>356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144</v>
      </c>
      <c r="T47" s="3" t="str">
        <f t="shared" si="0"/>
        <v>090</v>
      </c>
      <c r="U47" s="3">
        <f t="shared" si="24"/>
        <v>36</v>
      </c>
      <c r="V47" s="3" t="str">
        <f t="shared" si="1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341</v>
      </c>
      <c r="C48" s="3" t="s">
        <v>357</v>
      </c>
      <c r="D48" s="3" t="s">
        <v>0</v>
      </c>
      <c r="E48" s="3" t="s">
        <v>251</v>
      </c>
      <c r="F48" s="3" t="s">
        <v>342</v>
      </c>
      <c r="G48" s="3" t="s">
        <v>343</v>
      </c>
      <c r="H48" s="3" t="s">
        <v>358</v>
      </c>
      <c r="I48" s="3" t="s">
        <v>42</v>
      </c>
      <c r="J48" s="3">
        <v>1</v>
      </c>
      <c r="K48" s="3" t="s">
        <v>41</v>
      </c>
      <c r="L48" s="3" t="s">
        <v>41</v>
      </c>
      <c r="M48" s="3" t="s">
        <v>227</v>
      </c>
      <c r="N48" s="3" t="s">
        <v>345</v>
      </c>
      <c r="O48" s="3" t="s">
        <v>359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148</v>
      </c>
      <c r="T48" s="3" t="str">
        <f t="shared" si="0"/>
        <v>094</v>
      </c>
      <c r="U48" s="3">
        <f t="shared" si="24"/>
        <v>37</v>
      </c>
      <c r="V48" s="3" t="str">
        <f t="shared" si="1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341</v>
      </c>
      <c r="C49" s="3" t="s">
        <v>360</v>
      </c>
      <c r="D49" s="3" t="s">
        <v>0</v>
      </c>
      <c r="E49" s="3" t="s">
        <v>251</v>
      </c>
      <c r="F49" s="3" t="s">
        <v>342</v>
      </c>
      <c r="G49" s="3" t="s">
        <v>343</v>
      </c>
      <c r="H49" s="3" t="s">
        <v>361</v>
      </c>
      <c r="I49" s="3" t="s">
        <v>42</v>
      </c>
      <c r="J49" s="3">
        <v>1</v>
      </c>
      <c r="K49" s="3" t="s">
        <v>41</v>
      </c>
      <c r="L49" s="3" t="s">
        <v>41</v>
      </c>
      <c r="M49" s="3" t="s">
        <v>227</v>
      </c>
      <c r="N49" s="3" t="s">
        <v>345</v>
      </c>
      <c r="O49" s="3" t="s">
        <v>362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152</v>
      </c>
      <c r="T49" s="3" t="str">
        <f t="shared" si="0"/>
        <v>098</v>
      </c>
      <c r="U49" s="3">
        <f t="shared" si="24"/>
        <v>38</v>
      </c>
      <c r="V49" s="3" t="str">
        <f t="shared" si="1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972</v>
      </c>
      <c r="C50" s="3" t="s">
        <v>975</v>
      </c>
      <c r="D50" s="3" t="s">
        <v>1</v>
      </c>
      <c r="E50" s="3" t="s">
        <v>223</v>
      </c>
      <c r="F50" s="3" t="s">
        <v>1010</v>
      </c>
      <c r="G50" s="3" t="s">
        <v>1013</v>
      </c>
      <c r="H50" s="3" t="s">
        <v>1016</v>
      </c>
      <c r="I50" s="3" t="s">
        <v>42</v>
      </c>
      <c r="J50" s="3">
        <v>3</v>
      </c>
      <c r="K50" s="3" t="s">
        <v>313</v>
      </c>
      <c r="L50" s="3" t="s">
        <v>41</v>
      </c>
      <c r="M50" s="3" t="s">
        <v>227</v>
      </c>
      <c r="N50" s="3" t="s">
        <v>973</v>
      </c>
      <c r="O50" s="3" t="s">
        <v>974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156</v>
      </c>
      <c r="T50" s="3" t="str">
        <f t="shared" si="0"/>
        <v>09C</v>
      </c>
      <c r="U50" s="3">
        <f t="shared" si="24"/>
        <v>39</v>
      </c>
      <c r="V50" s="3" t="str">
        <f t="shared" si="1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(2 downto 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972</v>
      </c>
      <c r="C51" s="3" t="s">
        <v>977</v>
      </c>
      <c r="D51" s="3" t="s">
        <v>1</v>
      </c>
      <c r="E51" s="3" t="s">
        <v>223</v>
      </c>
      <c r="F51" s="3" t="s">
        <v>1010</v>
      </c>
      <c r="G51" s="3" t="s">
        <v>1013</v>
      </c>
      <c r="H51" s="3" t="s">
        <v>1017</v>
      </c>
      <c r="I51" s="3" t="s">
        <v>42</v>
      </c>
      <c r="J51" s="3">
        <v>2</v>
      </c>
      <c r="K51" s="3" t="s">
        <v>83</v>
      </c>
      <c r="L51" s="3" t="s">
        <v>41</v>
      </c>
      <c r="M51" s="3" t="s">
        <v>227</v>
      </c>
      <c r="N51" s="3" t="s">
        <v>973</v>
      </c>
      <c r="O51" s="3" t="s">
        <v>976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157</v>
      </c>
      <c r="T51" s="3" t="str">
        <f t="shared" si="0"/>
        <v>09D</v>
      </c>
      <c r="U51" s="3">
        <f t="shared" si="24"/>
        <v>39</v>
      </c>
      <c r="V51" s="3" t="str">
        <f t="shared" si="1"/>
        <v>27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25"/>
        <v/>
      </c>
      <c r="AB51" s="3" t="str">
        <f t="shared" si="26"/>
        <v/>
      </c>
      <c r="AC51" s="3" t="str">
        <f t="shared" si="27"/>
        <v>(9 downto 8)</v>
      </c>
      <c r="AD51" s="3" t="str">
        <f t="shared" si="28"/>
        <v/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972</v>
      </c>
      <c r="C52" s="3" t="s">
        <v>979</v>
      </c>
      <c r="D52" s="3" t="s">
        <v>1</v>
      </c>
      <c r="E52" s="3" t="s">
        <v>223</v>
      </c>
      <c r="F52" s="3" t="s">
        <v>1010</v>
      </c>
      <c r="G52" s="3" t="s">
        <v>1013</v>
      </c>
      <c r="H52" s="3" t="s">
        <v>1018</v>
      </c>
      <c r="I52" s="3" t="s">
        <v>42</v>
      </c>
      <c r="J52" s="3">
        <v>1</v>
      </c>
      <c r="K52" s="3" t="s">
        <v>82</v>
      </c>
      <c r="L52" s="3" t="s">
        <v>41</v>
      </c>
      <c r="M52" s="3" t="s">
        <v>227</v>
      </c>
      <c r="N52" s="3" t="s">
        <v>973</v>
      </c>
      <c r="O52" s="3" t="s">
        <v>978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$S51+$R51+INDEX(Tables!$N$5:$Q$8,MATCH(MOD($S51+$R51,4),Tables!$M$5:$M$8,0),MATCH($R52,Tables!$N$4:$Q$4,0))</f>
        <v>158</v>
      </c>
      <c r="T52" s="3" t="str">
        <f t="shared" si="0"/>
        <v>09E</v>
      </c>
      <c r="U52" s="3">
        <f t="shared" si="24"/>
        <v>39</v>
      </c>
      <c r="V52" s="3" t="str">
        <f t="shared" si="1"/>
        <v>27</v>
      </c>
      <c r="W52" s="3" t="str">
        <f t="shared" si="11"/>
        <v/>
      </c>
      <c r="X52" s="3" t="str">
        <f t="shared" si="12"/>
        <v>X</v>
      </c>
      <c r="Y52" s="3" t="str">
        <f t="shared" si="13"/>
        <v/>
      </c>
      <c r="Z52" s="3" t="str">
        <f t="shared" si="14"/>
        <v/>
      </c>
      <c r="AA52" s="3" t="str">
        <f t="shared" si="25"/>
        <v/>
      </c>
      <c r="AB52" s="3" t="str">
        <f t="shared" si="26"/>
        <v>(16)</v>
      </c>
      <c r="AC52" s="3" t="str">
        <f t="shared" si="27"/>
        <v/>
      </c>
      <c r="AD52" s="3" t="str">
        <f t="shared" si="28"/>
        <v/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972</v>
      </c>
      <c r="C53" s="3" t="s">
        <v>981</v>
      </c>
      <c r="D53" s="3" t="s">
        <v>1</v>
      </c>
      <c r="E53" s="3" t="s">
        <v>223</v>
      </c>
      <c r="F53" s="3" t="s">
        <v>1010</v>
      </c>
      <c r="G53" s="3" t="s">
        <v>1013</v>
      </c>
      <c r="H53" s="3" t="s">
        <v>1019</v>
      </c>
      <c r="I53" s="3" t="s">
        <v>42</v>
      </c>
      <c r="J53" s="3">
        <v>13</v>
      </c>
      <c r="K53" s="3" t="s">
        <v>323</v>
      </c>
      <c r="L53" s="3" t="s">
        <v>41</v>
      </c>
      <c r="M53" s="3" t="s">
        <v>227</v>
      </c>
      <c r="N53" s="3" t="s">
        <v>973</v>
      </c>
      <c r="O53" s="3" t="s">
        <v>980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$S52+$R52+INDEX(Tables!$N$5:$Q$8,MATCH(MOD($S52+$R52,4),Tables!$M$5:$M$8,0),MATCH($R53,Tables!$N$4:$Q$4,0))</f>
        <v>160</v>
      </c>
      <c r="T53" s="3" t="str">
        <f t="shared" si="0"/>
        <v>0A0</v>
      </c>
      <c r="U53" s="3">
        <f t="shared" si="24"/>
        <v>40</v>
      </c>
      <c r="V53" s="3" t="str">
        <f t="shared" si="1"/>
        <v>28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>(12 downto 8)</v>
      </c>
      <c r="AD53" s="3" t="str">
        <f t="shared" si="28"/>
        <v>(7 downto 0)</v>
      </c>
      <c r="AE53" s="3" t="str">
        <f t="shared" si="29"/>
        <v/>
      </c>
      <c r="AF53" s="3" t="str">
        <f t="shared" si="30"/>
        <v/>
      </c>
      <c r="AG53" s="3" t="str">
        <f t="shared" si="31"/>
        <v>(12 downto 8)</v>
      </c>
      <c r="AH53" s="3" t="str">
        <f t="shared" si="32"/>
        <v>(7 downto 0)</v>
      </c>
    </row>
    <row r="54" spans="2:34" x14ac:dyDescent="0.25">
      <c r="B54" s="3" t="s">
        <v>972</v>
      </c>
      <c r="C54" s="3" t="s">
        <v>983</v>
      </c>
      <c r="D54" s="3" t="s">
        <v>1</v>
      </c>
      <c r="E54" s="3" t="s">
        <v>223</v>
      </c>
      <c r="F54" s="3" t="s">
        <v>1010</v>
      </c>
      <c r="G54" s="3" t="s">
        <v>1013</v>
      </c>
      <c r="H54" s="3" t="s">
        <v>1020</v>
      </c>
      <c r="I54" s="3" t="s">
        <v>42</v>
      </c>
      <c r="J54" s="3">
        <v>12</v>
      </c>
      <c r="K54" s="3" t="s">
        <v>327</v>
      </c>
      <c r="L54" s="3" t="s">
        <v>41</v>
      </c>
      <c r="M54" s="3" t="s">
        <v>227</v>
      </c>
      <c r="N54" s="3" t="s">
        <v>973</v>
      </c>
      <c r="O54" s="3" t="s">
        <v>982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162</v>
      </c>
      <c r="T54" s="3" t="str">
        <f t="shared" si="0"/>
        <v>0A2</v>
      </c>
      <c r="U54" s="3">
        <f t="shared" si="24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25"/>
        <v>(27 downto 24)</v>
      </c>
      <c r="AB54" s="3" t="str">
        <f t="shared" si="26"/>
        <v>(23 downto 16)</v>
      </c>
      <c r="AC54" s="3" t="str">
        <f t="shared" si="27"/>
        <v/>
      </c>
      <c r="AD54" s="3" t="str">
        <f t="shared" si="28"/>
        <v/>
      </c>
      <c r="AE54" s="3" t="str">
        <f t="shared" si="29"/>
        <v>(11 downto 8)</v>
      </c>
      <c r="AF54" s="3" t="str">
        <f t="shared" si="30"/>
        <v>(7 downto 0)</v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972</v>
      </c>
      <c r="C55" s="3" t="s">
        <v>985</v>
      </c>
      <c r="D55" s="3" t="s">
        <v>1</v>
      </c>
      <c r="E55" s="3" t="s">
        <v>223</v>
      </c>
      <c r="F55" s="3" t="s">
        <v>1010</v>
      </c>
      <c r="G55" s="3" t="s">
        <v>1013</v>
      </c>
      <c r="H55" s="3" t="s">
        <v>1031</v>
      </c>
      <c r="I55" s="3" t="s">
        <v>42</v>
      </c>
      <c r="J55" s="3">
        <v>16</v>
      </c>
      <c r="K55" s="3" t="s">
        <v>84</v>
      </c>
      <c r="L55" s="3" t="s">
        <v>41</v>
      </c>
      <c r="M55" s="3" t="s">
        <v>227</v>
      </c>
      <c r="N55" s="3" t="s">
        <v>973</v>
      </c>
      <c r="O55" s="3" t="s">
        <v>984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$S54+$R54+INDEX(Tables!$N$5:$Q$8,MATCH(MOD($S54+$R54,4),Tables!$M$5:$M$8,0),MATCH($R55,Tables!$N$4:$Q$4,0))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>(15 downto 8)</v>
      </c>
      <c r="AD55" s="3" t="str">
        <f t="shared" si="28"/>
        <v>(7 downto 0)</v>
      </c>
      <c r="AE55" s="3" t="str">
        <f t="shared" si="29"/>
        <v/>
      </c>
      <c r="AF55" s="3" t="str">
        <f t="shared" si="30"/>
        <v/>
      </c>
      <c r="AG55" s="3" t="str">
        <f t="shared" si="31"/>
        <v>(15 downto 8)</v>
      </c>
      <c r="AH55" s="3" t="str">
        <f t="shared" si="32"/>
        <v>(7 downto 0)</v>
      </c>
    </row>
    <row r="56" spans="2:34" x14ac:dyDescent="0.25">
      <c r="B56" s="3" t="s">
        <v>972</v>
      </c>
      <c r="C56" s="3" t="s">
        <v>986</v>
      </c>
      <c r="D56" s="3" t="s">
        <v>1</v>
      </c>
      <c r="E56" s="3" t="s">
        <v>223</v>
      </c>
      <c r="F56" s="3" t="s">
        <v>1010</v>
      </c>
      <c r="G56" s="3" t="s">
        <v>1013</v>
      </c>
      <c r="H56" s="3" t="s">
        <v>477</v>
      </c>
      <c r="I56" s="3" t="s">
        <v>42</v>
      </c>
      <c r="J56" s="3">
        <v>32</v>
      </c>
      <c r="K56" s="3" t="s">
        <v>206</v>
      </c>
      <c r="L56" s="3" t="s">
        <v>41</v>
      </c>
      <c r="M56" s="3" t="s">
        <v>227</v>
      </c>
      <c r="N56" s="3" t="s">
        <v>973</v>
      </c>
      <c r="O56" s="3" t="s">
        <v>478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972</v>
      </c>
      <c r="C57" s="3" t="s">
        <v>988</v>
      </c>
      <c r="D57" s="3" t="s">
        <v>1</v>
      </c>
      <c r="E57" s="3" t="s">
        <v>223</v>
      </c>
      <c r="F57" s="3" t="s">
        <v>1010</v>
      </c>
      <c r="G57" s="3" t="s">
        <v>1013</v>
      </c>
      <c r="H57" s="3" t="s">
        <v>1021</v>
      </c>
      <c r="I57" s="3" t="s">
        <v>42</v>
      </c>
      <c r="J57" s="3">
        <v>16</v>
      </c>
      <c r="K57" s="3" t="s">
        <v>84</v>
      </c>
      <c r="L57" s="3" t="s">
        <v>41</v>
      </c>
      <c r="M57" s="3" t="s">
        <v>227</v>
      </c>
      <c r="N57" s="3" t="s">
        <v>973</v>
      </c>
      <c r="O57" s="3" t="s">
        <v>987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$S56+$R56+INDEX(Tables!$N$5:$Q$8,MATCH(MOD($S56+$R56,4),Tables!$M$5:$M$8,0),MATCH($R57,Tables!$N$4:$Q$4,0))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972</v>
      </c>
      <c r="C58" s="3" t="s">
        <v>479</v>
      </c>
      <c r="D58" s="3" t="s">
        <v>1</v>
      </c>
      <c r="E58" s="3" t="s">
        <v>223</v>
      </c>
      <c r="F58" s="3" t="s">
        <v>1010</v>
      </c>
      <c r="G58" s="3" t="s">
        <v>1013</v>
      </c>
      <c r="H58" s="3" t="s">
        <v>1032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973</v>
      </c>
      <c r="O58" s="3" t="s">
        <v>480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176</v>
      </c>
      <c r="T58" s="3" t="str">
        <f t="shared" si="0"/>
        <v>0B0</v>
      </c>
      <c r="U58" s="3">
        <f t="shared" si="24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972</v>
      </c>
      <c r="C59" s="3" t="s">
        <v>990</v>
      </c>
      <c r="D59" s="3" t="s">
        <v>1</v>
      </c>
      <c r="E59" s="3" t="s">
        <v>223</v>
      </c>
      <c r="F59" s="3" t="s">
        <v>1010</v>
      </c>
      <c r="G59" s="3" t="s">
        <v>1013</v>
      </c>
      <c r="H59" s="3" t="s">
        <v>1029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973</v>
      </c>
      <c r="O59" s="3" t="s">
        <v>989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180</v>
      </c>
      <c r="T59" s="3" t="str">
        <f t="shared" si="0"/>
        <v>0B4</v>
      </c>
      <c r="U59" s="3">
        <f t="shared" si="24"/>
        <v>45</v>
      </c>
      <c r="V59" s="3" t="str">
        <f t="shared" si="1"/>
        <v>2D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972</v>
      </c>
      <c r="C60" s="3" t="s">
        <v>992</v>
      </c>
      <c r="D60" s="3" t="s">
        <v>1</v>
      </c>
      <c r="E60" s="3" t="s">
        <v>223</v>
      </c>
      <c r="F60" s="3" t="s">
        <v>1010</v>
      </c>
      <c r="G60" s="3" t="s">
        <v>1013</v>
      </c>
      <c r="H60" s="3" t="s">
        <v>1030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973</v>
      </c>
      <c r="O60" s="3" t="s">
        <v>991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184</v>
      </c>
      <c r="T60" s="3" t="str">
        <f t="shared" si="0"/>
        <v>0B8</v>
      </c>
      <c r="U60" s="3">
        <f t="shared" si="24"/>
        <v>46</v>
      </c>
      <c r="V60" s="3" t="str">
        <f t="shared" si="1"/>
        <v>2E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993</v>
      </c>
      <c r="C61" s="3" t="s">
        <v>481</v>
      </c>
      <c r="D61" s="3" t="s">
        <v>0</v>
      </c>
      <c r="E61" s="3" t="s">
        <v>251</v>
      </c>
      <c r="F61" s="3" t="s">
        <v>1011</v>
      </c>
      <c r="G61" s="3" t="s">
        <v>1014</v>
      </c>
      <c r="H61" s="3" t="s">
        <v>482</v>
      </c>
      <c r="I61" s="3" t="s">
        <v>42</v>
      </c>
      <c r="J61" s="8">
        <v>1</v>
      </c>
      <c r="K61" s="3" t="s">
        <v>41</v>
      </c>
      <c r="L61" s="3" t="s">
        <v>41</v>
      </c>
      <c r="M61" s="3" t="s">
        <v>227</v>
      </c>
      <c r="N61" s="3" t="s">
        <v>994</v>
      </c>
      <c r="O61" s="3" t="s">
        <v>483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188</v>
      </c>
      <c r="T61" s="3" t="str">
        <f t="shared" si="0"/>
        <v>0BC</v>
      </c>
      <c r="U61" s="3">
        <f t="shared" si="24"/>
        <v>47</v>
      </c>
      <c r="V61" s="3" t="str">
        <f t="shared" si="1"/>
        <v>2F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993</v>
      </c>
      <c r="C62" s="3" t="s">
        <v>996</v>
      </c>
      <c r="D62" s="3" t="s">
        <v>0</v>
      </c>
      <c r="E62" s="3" t="s">
        <v>251</v>
      </c>
      <c r="F62" s="3" t="s">
        <v>1011</v>
      </c>
      <c r="G62" s="3" t="s">
        <v>1014</v>
      </c>
      <c r="H62" s="3" t="s">
        <v>1022</v>
      </c>
      <c r="I62" s="3" t="s">
        <v>42</v>
      </c>
      <c r="J62" s="8">
        <v>1</v>
      </c>
      <c r="K62" s="3" t="s">
        <v>41</v>
      </c>
      <c r="L62" s="3" t="s">
        <v>41</v>
      </c>
      <c r="M62" s="3" t="s">
        <v>227</v>
      </c>
      <c r="N62" s="3" t="s">
        <v>994</v>
      </c>
      <c r="O62" s="3" t="s">
        <v>995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192</v>
      </c>
      <c r="T62" s="3" t="str">
        <f t="shared" si="0"/>
        <v>0C0</v>
      </c>
      <c r="U62" s="3">
        <f t="shared" si="24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1922</v>
      </c>
      <c r="C63" s="3" t="s">
        <v>1923</v>
      </c>
      <c r="D63" s="3" t="s">
        <v>1</v>
      </c>
      <c r="E63" s="3" t="s">
        <v>223</v>
      </c>
      <c r="F63" s="3" t="s">
        <v>1928</v>
      </c>
      <c r="G63" s="3" t="s">
        <v>1929</v>
      </c>
      <c r="H63" s="3" t="s">
        <v>1925</v>
      </c>
      <c r="I63" s="3" t="s">
        <v>42</v>
      </c>
      <c r="J63" s="8">
        <v>16</v>
      </c>
      <c r="K63" s="8" t="s">
        <v>1334</v>
      </c>
      <c r="L63" s="3" t="s">
        <v>41</v>
      </c>
      <c r="M63" s="3" t="s">
        <v>227</v>
      </c>
      <c r="N63" s="3" t="s">
        <v>1927</v>
      </c>
      <c r="O63" s="3" t="s">
        <v>1930</v>
      </c>
      <c r="P63" s="3" t="s">
        <v>50</v>
      </c>
      <c r="Q63" s="3">
        <f>INDEX(Tables!$C$4:$C$28,MATCH($P63,Tables!$B$4:$B$28,0))</f>
        <v>16</v>
      </c>
      <c r="R63" s="3">
        <f>INDEX(Tables!$D$4:$D$28,MATCH($P63,Tables!$B$4:$B$28,0))</f>
        <v>2</v>
      </c>
      <c r="S63" s="3">
        <f>$S62+$R62+INDEX(Tables!$N$5:$Q$8,MATCH(MOD($S62+$R62,4),Tables!$M$5:$M$8,0),MATCH($R63,Tables!$N$4:$Q$4,0))</f>
        <v>196</v>
      </c>
      <c r="T63" s="3" t="str">
        <f t="shared" si="0"/>
        <v>0C4</v>
      </c>
      <c r="U63" s="3">
        <f t="shared" si="24"/>
        <v>49</v>
      </c>
      <c r="V63" s="3" t="str">
        <f t="shared" si="1"/>
        <v>31</v>
      </c>
      <c r="W63" s="3" t="str">
        <f t="shared" si="11"/>
        <v/>
      </c>
      <c r="X63" s="3" t="str">
        <f t="shared" si="12"/>
        <v/>
      </c>
      <c r="Y63" s="3" t="str">
        <f t="shared" si="13"/>
        <v>X</v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>(15 downto 8)</v>
      </c>
      <c r="AD63" s="3" t="str">
        <f t="shared" si="28"/>
        <v>(7 downto 0)</v>
      </c>
      <c r="AE63" s="3" t="str">
        <f t="shared" si="29"/>
        <v/>
      </c>
      <c r="AF63" s="3" t="str">
        <f t="shared" si="30"/>
        <v/>
      </c>
      <c r="AG63" s="3" t="str">
        <f t="shared" si="31"/>
        <v>(15 downto 8)</v>
      </c>
      <c r="AH63" s="3" t="str">
        <f t="shared" si="32"/>
        <v>(7 downto 0)</v>
      </c>
    </row>
    <row r="64" spans="2:34" x14ac:dyDescent="0.25">
      <c r="B64" s="3" t="s">
        <v>1922</v>
      </c>
      <c r="C64" s="3" t="s">
        <v>1924</v>
      </c>
      <c r="D64" s="3" t="s">
        <v>1</v>
      </c>
      <c r="E64" s="3" t="s">
        <v>223</v>
      </c>
      <c r="F64" s="3" t="s">
        <v>1928</v>
      </c>
      <c r="G64" s="3" t="s">
        <v>1929</v>
      </c>
      <c r="H64" s="3" t="s">
        <v>1926</v>
      </c>
      <c r="I64" s="3" t="s">
        <v>42</v>
      </c>
      <c r="J64" s="8">
        <v>16</v>
      </c>
      <c r="K64" s="8" t="s">
        <v>1334</v>
      </c>
      <c r="L64" s="3" t="s">
        <v>41</v>
      </c>
      <c r="M64" s="3" t="s">
        <v>227</v>
      </c>
      <c r="N64" s="3" t="s">
        <v>1927</v>
      </c>
      <c r="O64" s="3" t="s">
        <v>1931</v>
      </c>
      <c r="P64" s="3" t="s">
        <v>50</v>
      </c>
      <c r="Q64" s="3">
        <f>INDEX(Tables!$C$4:$C$28,MATCH($P64,Tables!$B$4:$B$28,0))</f>
        <v>16</v>
      </c>
      <c r="R64" s="3">
        <f>INDEX(Tables!$D$4:$D$28,MATCH($P64,Tables!$B$4:$B$28,0))</f>
        <v>2</v>
      </c>
      <c r="S64" s="3">
        <f>$S63+$R63+INDEX(Tables!$N$5:$Q$8,MATCH(MOD($S63+$R63,4),Tables!$M$5:$M$8,0),MATCH($R64,Tables!$N$4:$Q$4,0))</f>
        <v>198</v>
      </c>
      <c r="T64" s="3" t="str">
        <f t="shared" si="0"/>
        <v>0C6</v>
      </c>
      <c r="U64" s="3">
        <f t="shared" si="24"/>
        <v>49</v>
      </c>
      <c r="V64" s="3" t="str">
        <f t="shared" si="1"/>
        <v>31</v>
      </c>
      <c r="W64" s="3" t="str">
        <f t="shared" si="11"/>
        <v>X</v>
      </c>
      <c r="X64" s="3" t="str">
        <f t="shared" si="12"/>
        <v>X</v>
      </c>
      <c r="Y64" s="3" t="str">
        <f t="shared" si="13"/>
        <v/>
      </c>
      <c r="Z64" s="3" t="str">
        <f t="shared" si="14"/>
        <v/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/>
      </c>
      <c r="AD64" s="3" t="str">
        <f t="shared" si="28"/>
        <v/>
      </c>
      <c r="AE64" s="3" t="str">
        <f t="shared" si="29"/>
        <v>(15 downto 8)</v>
      </c>
      <c r="AF64" s="3" t="str">
        <f t="shared" si="30"/>
        <v>(7 downto 0)</v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1712</v>
      </c>
      <c r="C65" s="3" t="s">
        <v>1713</v>
      </c>
      <c r="D65" s="3" t="s">
        <v>1</v>
      </c>
      <c r="E65" s="3" t="s">
        <v>223</v>
      </c>
      <c r="F65" s="3" t="s">
        <v>1714</v>
      </c>
      <c r="G65" s="3" t="s">
        <v>1715</v>
      </c>
      <c r="H65" s="3" t="s">
        <v>1716</v>
      </c>
      <c r="I65" s="3" t="s">
        <v>42</v>
      </c>
      <c r="J65" s="3">
        <v>32</v>
      </c>
      <c r="K65" s="8" t="s">
        <v>1334</v>
      </c>
      <c r="L65" s="8" t="s">
        <v>41</v>
      </c>
      <c r="M65" s="3" t="s">
        <v>227</v>
      </c>
      <c r="N65" s="3" t="s">
        <v>1717</v>
      </c>
      <c r="O65" s="3" t="s">
        <v>1718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1712</v>
      </c>
      <c r="C66" s="3" t="s">
        <v>1719</v>
      </c>
      <c r="D66" s="3" t="s">
        <v>1</v>
      </c>
      <c r="E66" s="3" t="s">
        <v>223</v>
      </c>
      <c r="F66" s="3" t="s">
        <v>1714</v>
      </c>
      <c r="G66" s="3" t="s">
        <v>1715</v>
      </c>
      <c r="H66" s="3" t="s">
        <v>1720</v>
      </c>
      <c r="I66" s="3" t="s">
        <v>42</v>
      </c>
      <c r="J66" s="3">
        <v>32</v>
      </c>
      <c r="K66" s="8" t="s">
        <v>1334</v>
      </c>
      <c r="L66" s="8" t="s">
        <v>41</v>
      </c>
      <c r="M66" s="3" t="s">
        <v>227</v>
      </c>
      <c r="N66" s="3" t="s">
        <v>1717</v>
      </c>
      <c r="O66" s="3" t="s">
        <v>1721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1712</v>
      </c>
      <c r="C67" s="3" t="s">
        <v>1722</v>
      </c>
      <c r="D67" s="3" t="s">
        <v>1</v>
      </c>
      <c r="E67" s="3" t="s">
        <v>223</v>
      </c>
      <c r="F67" s="3" t="s">
        <v>1714</v>
      </c>
      <c r="G67" s="3" t="s">
        <v>1715</v>
      </c>
      <c r="H67" s="3" t="s">
        <v>1723</v>
      </c>
      <c r="I67" s="3" t="s">
        <v>42</v>
      </c>
      <c r="J67" s="3">
        <v>32</v>
      </c>
      <c r="K67" s="8" t="s">
        <v>1334</v>
      </c>
      <c r="L67" s="8" t="s">
        <v>41</v>
      </c>
      <c r="M67" s="3" t="s">
        <v>227</v>
      </c>
      <c r="N67" s="3" t="s">
        <v>1717</v>
      </c>
      <c r="O67" s="3" t="s">
        <v>1724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1712</v>
      </c>
      <c r="C68" s="3" t="s">
        <v>1725</v>
      </c>
      <c r="D68" s="3" t="s">
        <v>1</v>
      </c>
      <c r="E68" s="3" t="s">
        <v>223</v>
      </c>
      <c r="F68" s="3" t="s">
        <v>1714</v>
      </c>
      <c r="G68" s="3" t="s">
        <v>1715</v>
      </c>
      <c r="H68" s="3" t="s">
        <v>1726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1717</v>
      </c>
      <c r="O68" s="3" t="s">
        <v>1727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212</v>
      </c>
      <c r="T68" s="3" t="str">
        <f t="shared" ref="T68:T131" si="33">DEC2HEX($S68,3)</f>
        <v>0D4</v>
      </c>
      <c r="U68" s="3">
        <f t="shared" si="24"/>
        <v>53</v>
      </c>
      <c r="V68" s="3" t="str">
        <f t="shared" ref="V68:V131" si="34">DEC2HEX($U68,2)</f>
        <v>35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1712</v>
      </c>
      <c r="C69" s="3" t="s">
        <v>1728</v>
      </c>
      <c r="D69" s="3" t="s">
        <v>1</v>
      </c>
      <c r="E69" s="3" t="s">
        <v>223</v>
      </c>
      <c r="F69" s="3" t="s">
        <v>1714</v>
      </c>
      <c r="G69" s="3" t="s">
        <v>1715</v>
      </c>
      <c r="H69" s="3" t="s">
        <v>1729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1717</v>
      </c>
      <c r="O69" s="3" t="s">
        <v>1730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216</v>
      </c>
      <c r="T69" s="3" t="str">
        <f t="shared" si="33"/>
        <v>0D8</v>
      </c>
      <c r="U69" s="3">
        <f t="shared" si="24"/>
        <v>54</v>
      </c>
      <c r="V69" s="3" t="str">
        <f t="shared" si="34"/>
        <v>36</v>
      </c>
      <c r="W69" s="3" t="str">
        <f t="shared" ref="W69:W132" si="35">IF(MOD($S69,4)=3,"X",IF(AND(MOD($S69,4)=2,$J69&gt;8),"X",IF(AND(MOD($S69,4)=1,$J69&gt;16),"X",IF(AND(MOD($S69,4)=0,$J69&gt;24),"X",""))))</f>
        <v/>
      </c>
      <c r="X69" s="3" t="str">
        <f t="shared" ref="X69:X132" si="36">IF(MOD($S69,4)=2,"X",IF(AND(MOD($S69,4)=1,$J69&gt;8),"X",IF(AND(MOD($S69,4)=0,$J69&gt;16),"X","")))</f>
        <v/>
      </c>
      <c r="Y69" s="3" t="str">
        <f t="shared" ref="Y69:Y132" si="37">IF(MOD($S69,4)=1,"X",IF(AND(MOD($S69,4)=0,$J69&gt;8),"X",""))</f>
        <v/>
      </c>
      <c r="Z69" s="3" t="str">
        <f t="shared" ref="Z69:Z132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1731</v>
      </c>
      <c r="C70" s="3" t="s">
        <v>1732</v>
      </c>
      <c r="D70" s="3" t="s">
        <v>0</v>
      </c>
      <c r="E70" s="3" t="s">
        <v>251</v>
      </c>
      <c r="F70" s="3" t="s">
        <v>1733</v>
      </c>
      <c r="G70" s="3" t="s">
        <v>1734</v>
      </c>
      <c r="H70" s="3" t="s">
        <v>1735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1736</v>
      </c>
      <c r="O70" s="3" t="s">
        <v>1737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220</v>
      </c>
      <c r="T70" s="3" t="str">
        <f t="shared" si="33"/>
        <v>0DC</v>
      </c>
      <c r="U70" s="3">
        <f t="shared" si="24"/>
        <v>55</v>
      </c>
      <c r="V70" s="3" t="str">
        <f t="shared" si="34"/>
        <v>37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1738</v>
      </c>
      <c r="C71" s="3" t="s">
        <v>1739</v>
      </c>
      <c r="D71" s="3" t="s">
        <v>1</v>
      </c>
      <c r="E71" s="3" t="s">
        <v>223</v>
      </c>
      <c r="F71" s="3" t="s">
        <v>1740</v>
      </c>
      <c r="G71" s="3" t="s">
        <v>1741</v>
      </c>
      <c r="H71" s="3" t="s">
        <v>1742</v>
      </c>
      <c r="I71" s="3" t="s">
        <v>42</v>
      </c>
      <c r="J71" s="3">
        <v>32</v>
      </c>
      <c r="K71" s="3" t="s">
        <v>1334</v>
      </c>
      <c r="L71" s="3" t="s">
        <v>41</v>
      </c>
      <c r="M71" s="3" t="s">
        <v>227</v>
      </c>
      <c r="N71" s="3" t="s">
        <v>1743</v>
      </c>
      <c r="O71" s="3" t="s">
        <v>1744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224</v>
      </c>
      <c r="T71" s="3" t="str">
        <f t="shared" si="33"/>
        <v>0E0</v>
      </c>
      <c r="U71" s="3">
        <f t="shared" si="24"/>
        <v>56</v>
      </c>
      <c r="V71" s="3" t="str">
        <f t="shared" si="34"/>
        <v>38</v>
      </c>
      <c r="W71" s="3" t="str">
        <f t="shared" si="35"/>
        <v>X</v>
      </c>
      <c r="X71" s="3" t="str">
        <f t="shared" si="36"/>
        <v>X</v>
      </c>
      <c r="Y71" s="3" t="str">
        <f t="shared" si="37"/>
        <v>X</v>
      </c>
      <c r="Z71" s="3" t="str">
        <f t="shared" si="38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2:34" x14ac:dyDescent="0.25">
      <c r="B72" s="3" t="s">
        <v>1738</v>
      </c>
      <c r="C72" s="3" t="s">
        <v>1745</v>
      </c>
      <c r="D72" s="3" t="s">
        <v>1</v>
      </c>
      <c r="E72" s="3" t="s">
        <v>223</v>
      </c>
      <c r="F72" s="3" t="s">
        <v>1740</v>
      </c>
      <c r="G72" s="3" t="s">
        <v>1741</v>
      </c>
      <c r="H72" s="3" t="s">
        <v>1746</v>
      </c>
      <c r="I72" s="3" t="s">
        <v>42</v>
      </c>
      <c r="J72" s="3">
        <v>32</v>
      </c>
      <c r="K72" s="3" t="s">
        <v>1334</v>
      </c>
      <c r="L72" s="3" t="s">
        <v>41</v>
      </c>
      <c r="M72" s="3" t="s">
        <v>227</v>
      </c>
      <c r="N72" s="3" t="s">
        <v>1743</v>
      </c>
      <c r="O72" s="3" t="s">
        <v>1747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228</v>
      </c>
      <c r="T72" s="3" t="str">
        <f t="shared" si="33"/>
        <v>0E4</v>
      </c>
      <c r="U72" s="3">
        <f t="shared" ref="U72:U135" si="39">ROUNDDOWN(S72/4,0)</f>
        <v>57</v>
      </c>
      <c r="V72" s="3" t="str">
        <f t="shared" si="34"/>
        <v>39</v>
      </c>
      <c r="W72" s="3" t="str">
        <f t="shared" si="35"/>
        <v>X</v>
      </c>
      <c r="X72" s="3" t="str">
        <f t="shared" si="36"/>
        <v>X</v>
      </c>
      <c r="Y72" s="3" t="str">
        <f t="shared" si="37"/>
        <v>X</v>
      </c>
      <c r="Z72" s="3" t="str">
        <f t="shared" si="38"/>
        <v>X</v>
      </c>
      <c r="AA72" s="3" t="str">
        <f t="shared" ref="AA72:AA135" si="40">IF(W72="","",CONCATENATE("(",IF(($J72-COUNTIF($X72:$Z72,"X")*8)=1,"24)",CONCATENATE(IF(($J72-COUNTIF($X72:$Z72,"X")*8)&gt;=8,32,($J72-COUNTIF($X72:$Z72,"X")*8)+24)-1," downto 24)"))))</f>
        <v>(31 downto 24)</v>
      </c>
      <c r="AB72" s="3" t="str">
        <f t="shared" ref="AB72:AB135" si="41">IF(X72="","",CONCATENATE("(",IF(($J72-COUNTIF($Y72:$Z72,"X")*8)=1,"16)",CONCATENATE(IF(($J72-COUNTIF($Y72:$Z72,"X")*8)&gt;=8,24,($J72-COUNTIF($Y72:$Z72,"X")*8)+16)-1," downto 16)"))))</f>
        <v>(23 downto 16)</v>
      </c>
      <c r="AC72" s="3" t="str">
        <f t="shared" ref="AC72:AC135" si="42">IF(Y72="","",CONCATENATE("(",IF(($J72-COUNTIF($Z72,"X")*8)=1,"8)",CONCATENATE(IF(($J72-COUNTIF($Z72,"X")*8)&gt;=8,16,($J72-COUNTIF($Z72,"X")*8)+8)-1," downto 8)"))))</f>
        <v>(15 downto 8)</v>
      </c>
      <c r="AD72" s="3" t="str">
        <f t="shared" ref="AD72:AD135" si="43">IF(Z72="","",CONCATENATE("(",IF($J72=1,"0)",CONCATENATE(IF($J72&gt;=8,8,$J72)-1," downto 0)"))))</f>
        <v>(7 downto 0)</v>
      </c>
      <c r="AE72" s="3" t="str">
        <f t="shared" ref="AE72:AE135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>(31 downto 24)</v>
      </c>
      <c r="AF72" s="3" t="str">
        <f t="shared" ref="AF72:AF135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>(23 downto 16)</v>
      </c>
      <c r="AG72" s="3" t="str">
        <f t="shared" ref="AG72:AG135" si="46">IF(Y72="","",IF($J72&lt;=8,"",IF(($J72-COUNTIF($Z72,"X")*8)=1,CONCATENATE("(",($J72-1),")"),CONCATENATE("(",IF(($J72-COUNTIF($Z72,"X")*8)&gt;=8,COUNTIF($Z72,"X")*8+7,$J72-COUNTIF($Z72,"X")*8-1+COUNTIF($Z72,"X")*8)," downto ",COUNTIF($Z72,"X")*8,")"))))</f>
        <v>(15 downto 8)</v>
      </c>
      <c r="AH72" s="3" t="str">
        <f t="shared" ref="AH72:AH135" si="47">IF(Z72="","",IF($J72&lt;=8,"",CONCATENATE("(",IF($J72&gt;=8,7,$J72-1)," downto ",0,")")))</f>
        <v>(7 downto 0)</v>
      </c>
    </row>
    <row r="73" spans="2:34" x14ac:dyDescent="0.25">
      <c r="B73" s="3" t="s">
        <v>1738</v>
      </c>
      <c r="C73" s="3" t="s">
        <v>1748</v>
      </c>
      <c r="D73" s="3" t="s">
        <v>1</v>
      </c>
      <c r="E73" s="3" t="s">
        <v>223</v>
      </c>
      <c r="F73" s="3" t="s">
        <v>1740</v>
      </c>
      <c r="G73" s="3" t="s">
        <v>1741</v>
      </c>
      <c r="H73" s="3" t="s">
        <v>1749</v>
      </c>
      <c r="I73" s="3" t="s">
        <v>42</v>
      </c>
      <c r="J73" s="3">
        <v>32</v>
      </c>
      <c r="K73" s="3" t="s">
        <v>1334</v>
      </c>
      <c r="L73" s="3" t="s">
        <v>41</v>
      </c>
      <c r="M73" s="3" t="s">
        <v>227</v>
      </c>
      <c r="N73" s="3" t="s">
        <v>1743</v>
      </c>
      <c r="O73" s="3" t="s">
        <v>1750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232</v>
      </c>
      <c r="T73" s="3" t="str">
        <f t="shared" si="33"/>
        <v>0E8</v>
      </c>
      <c r="U73" s="3">
        <f t="shared" si="39"/>
        <v>58</v>
      </c>
      <c r="V73" s="3" t="str">
        <f t="shared" si="34"/>
        <v>3A</v>
      </c>
      <c r="W73" s="3" t="str">
        <f t="shared" si="35"/>
        <v>X</v>
      </c>
      <c r="X73" s="3" t="str">
        <f t="shared" si="36"/>
        <v>X</v>
      </c>
      <c r="Y73" s="3" t="str">
        <f t="shared" si="37"/>
        <v>X</v>
      </c>
      <c r="Z73" s="3" t="str">
        <f t="shared" si="38"/>
        <v>X</v>
      </c>
      <c r="AA73" s="3" t="str">
        <f t="shared" si="40"/>
        <v>(31 downto 24)</v>
      </c>
      <c r="AB73" s="3" t="str">
        <f t="shared" si="41"/>
        <v>(23 downto 16)</v>
      </c>
      <c r="AC73" s="3" t="str">
        <f t="shared" si="42"/>
        <v>(15 downto 8)</v>
      </c>
      <c r="AD73" s="3" t="str">
        <f t="shared" si="43"/>
        <v>(7 downto 0)</v>
      </c>
      <c r="AE73" s="3" t="str">
        <f t="shared" si="44"/>
        <v>(31 downto 24)</v>
      </c>
      <c r="AF73" s="3" t="str">
        <f t="shared" si="45"/>
        <v>(23 downto 16)</v>
      </c>
      <c r="AG73" s="3" t="str">
        <f t="shared" si="46"/>
        <v>(15 downto 8)</v>
      </c>
      <c r="AH73" s="3" t="str">
        <f t="shared" si="47"/>
        <v>(7 downto 0)</v>
      </c>
    </row>
    <row r="74" spans="2:34" x14ac:dyDescent="0.25">
      <c r="B74" s="3" t="s">
        <v>1738</v>
      </c>
      <c r="C74" s="3" t="s">
        <v>1751</v>
      </c>
      <c r="D74" s="3" t="s">
        <v>1</v>
      </c>
      <c r="E74" s="3" t="s">
        <v>223</v>
      </c>
      <c r="F74" s="3" t="s">
        <v>1740</v>
      </c>
      <c r="G74" s="3" t="s">
        <v>1741</v>
      </c>
      <c r="H74" s="3" t="s">
        <v>1752</v>
      </c>
      <c r="I74" s="3" t="s">
        <v>42</v>
      </c>
      <c r="J74" s="3">
        <v>1</v>
      </c>
      <c r="K74" s="3" t="s">
        <v>82</v>
      </c>
      <c r="L74" s="3" t="s">
        <v>82</v>
      </c>
      <c r="M74" s="3" t="s">
        <v>227</v>
      </c>
      <c r="N74" s="3" t="s">
        <v>1743</v>
      </c>
      <c r="O74" s="3" t="s">
        <v>1753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236</v>
      </c>
      <c r="T74" s="3" t="str">
        <f t="shared" si="33"/>
        <v>0EC</v>
      </c>
      <c r="U74" s="3">
        <f t="shared" si="39"/>
        <v>59</v>
      </c>
      <c r="V74" s="3" t="str">
        <f t="shared" si="34"/>
        <v>3B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/>
      </c>
      <c r="AD74" s="3" t="str">
        <f t="shared" si="43"/>
        <v>(0)</v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1738</v>
      </c>
      <c r="C75" s="3" t="s">
        <v>1754</v>
      </c>
      <c r="D75" s="3" t="s">
        <v>1</v>
      </c>
      <c r="E75" s="3" t="s">
        <v>223</v>
      </c>
      <c r="F75" s="3" t="s">
        <v>1740</v>
      </c>
      <c r="G75" s="3" t="s">
        <v>1741</v>
      </c>
      <c r="H75" s="3" t="s">
        <v>1755</v>
      </c>
      <c r="I75" s="3" t="s">
        <v>42</v>
      </c>
      <c r="J75" s="3">
        <v>1</v>
      </c>
      <c r="K75" s="3" t="s">
        <v>82</v>
      </c>
      <c r="L75" s="3" t="s">
        <v>82</v>
      </c>
      <c r="M75" s="3" t="s">
        <v>227</v>
      </c>
      <c r="N75" s="3" t="s">
        <v>1743</v>
      </c>
      <c r="O75" s="3" t="s">
        <v>1756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240</v>
      </c>
      <c r="T75" s="3" t="str">
        <f t="shared" si="33"/>
        <v>0F0</v>
      </c>
      <c r="U75" s="3">
        <f t="shared" si="39"/>
        <v>60</v>
      </c>
      <c r="V75" s="3" t="str">
        <f t="shared" si="34"/>
        <v>3C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1757</v>
      </c>
      <c r="C76" s="3" t="s">
        <v>1758</v>
      </c>
      <c r="D76" s="3" t="s">
        <v>0</v>
      </c>
      <c r="E76" s="3" t="s">
        <v>251</v>
      </c>
      <c r="F76" s="3" t="s">
        <v>1759</v>
      </c>
      <c r="G76" s="3" t="s">
        <v>1760</v>
      </c>
      <c r="H76" s="3" t="s">
        <v>1761</v>
      </c>
      <c r="I76" s="3" t="s">
        <v>42</v>
      </c>
      <c r="J76" s="3">
        <v>1</v>
      </c>
      <c r="K76" s="3" t="s">
        <v>82</v>
      </c>
      <c r="L76" s="3" t="s">
        <v>41</v>
      </c>
      <c r="M76" s="3" t="s">
        <v>227</v>
      </c>
      <c r="N76" s="3" t="s">
        <v>1762</v>
      </c>
      <c r="O76" s="3" t="s">
        <v>1763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244</v>
      </c>
      <c r="T76" s="3" t="str">
        <f t="shared" si="33"/>
        <v>0F4</v>
      </c>
      <c r="U76" s="3">
        <f t="shared" si="39"/>
        <v>61</v>
      </c>
      <c r="V76" s="3" t="str">
        <f t="shared" si="34"/>
        <v>3D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/>
      </c>
      <c r="AD76" s="3" t="str">
        <f t="shared" si="43"/>
        <v>(0)</v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1283</v>
      </c>
      <c r="C77" s="3" t="s">
        <v>1284</v>
      </c>
      <c r="D77" s="3" t="s">
        <v>1</v>
      </c>
      <c r="E77" s="3" t="s">
        <v>223</v>
      </c>
      <c r="F77" s="3" t="s">
        <v>1307</v>
      </c>
      <c r="G77" s="3" t="s">
        <v>1308</v>
      </c>
      <c r="H77" s="3" t="s">
        <v>1313</v>
      </c>
      <c r="I77" s="3" t="s">
        <v>42</v>
      </c>
      <c r="J77" s="3">
        <v>32</v>
      </c>
      <c r="K77" s="3" t="s">
        <v>1334</v>
      </c>
      <c r="L77" s="3" t="s">
        <v>41</v>
      </c>
      <c r="M77" s="3" t="s">
        <v>227</v>
      </c>
      <c r="N77" s="3" t="s">
        <v>1335</v>
      </c>
      <c r="O77" s="3" t="s">
        <v>1338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248</v>
      </c>
      <c r="T77" s="3" t="str">
        <f t="shared" si="33"/>
        <v>0F8</v>
      </c>
      <c r="U77" s="3">
        <f t="shared" si="39"/>
        <v>62</v>
      </c>
      <c r="V77" s="3" t="str">
        <f t="shared" si="34"/>
        <v>3E</v>
      </c>
      <c r="W77" s="3" t="str">
        <f t="shared" si="35"/>
        <v>X</v>
      </c>
      <c r="X77" s="3" t="str">
        <f t="shared" si="36"/>
        <v>X</v>
      </c>
      <c r="Y77" s="3" t="str">
        <f t="shared" si="37"/>
        <v>X</v>
      </c>
      <c r="Z77" s="3" t="str">
        <f t="shared" si="38"/>
        <v>X</v>
      </c>
      <c r="AA77" s="3" t="str">
        <f t="shared" si="40"/>
        <v>(31 downto 24)</v>
      </c>
      <c r="AB77" s="3" t="str">
        <f t="shared" si="41"/>
        <v>(23 downto 16)</v>
      </c>
      <c r="AC77" s="3" t="str">
        <f t="shared" si="42"/>
        <v>(15 downto 8)</v>
      </c>
      <c r="AD77" s="3" t="str">
        <f t="shared" si="43"/>
        <v>(7 downto 0)</v>
      </c>
      <c r="AE77" s="3" t="str">
        <f t="shared" si="44"/>
        <v>(31 downto 24)</v>
      </c>
      <c r="AF77" s="3" t="str">
        <f t="shared" si="45"/>
        <v>(23 downto 16)</v>
      </c>
      <c r="AG77" s="3" t="str">
        <f t="shared" si="46"/>
        <v>(15 downto 8)</v>
      </c>
      <c r="AH77" s="3" t="str">
        <f t="shared" si="47"/>
        <v>(7 downto 0)</v>
      </c>
    </row>
    <row r="78" spans="2:34" x14ac:dyDescent="0.25">
      <c r="B78" s="3" t="s">
        <v>1283</v>
      </c>
      <c r="C78" s="3" t="s">
        <v>1285</v>
      </c>
      <c r="D78" s="3" t="s">
        <v>1</v>
      </c>
      <c r="E78" s="3" t="s">
        <v>223</v>
      </c>
      <c r="F78" s="3" t="s">
        <v>1307</v>
      </c>
      <c r="G78" s="3" t="s">
        <v>1308</v>
      </c>
      <c r="H78" s="3" t="s">
        <v>1314</v>
      </c>
      <c r="I78" s="3" t="s">
        <v>42</v>
      </c>
      <c r="J78" s="3">
        <v>32</v>
      </c>
      <c r="K78" s="3" t="s">
        <v>1334</v>
      </c>
      <c r="L78" s="3" t="s">
        <v>41</v>
      </c>
      <c r="M78" s="3" t="s">
        <v>227</v>
      </c>
      <c r="N78" s="3" t="s">
        <v>1335</v>
      </c>
      <c r="O78" s="3" t="s">
        <v>1339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252</v>
      </c>
      <c r="T78" s="3" t="str">
        <f t="shared" si="33"/>
        <v>0FC</v>
      </c>
      <c r="U78" s="3">
        <f t="shared" si="39"/>
        <v>63</v>
      </c>
      <c r="V78" s="3" t="str">
        <f t="shared" si="34"/>
        <v>3F</v>
      </c>
      <c r="W78" s="3" t="str">
        <f t="shared" si="35"/>
        <v>X</v>
      </c>
      <c r="X78" s="3" t="str">
        <f t="shared" si="36"/>
        <v>X</v>
      </c>
      <c r="Y78" s="3" t="str">
        <f t="shared" si="37"/>
        <v>X</v>
      </c>
      <c r="Z78" s="3" t="str">
        <f t="shared" si="38"/>
        <v>X</v>
      </c>
      <c r="AA78" s="3" t="str">
        <f t="shared" si="40"/>
        <v>(31 downto 24)</v>
      </c>
      <c r="AB78" s="3" t="str">
        <f t="shared" si="41"/>
        <v>(23 downto 16)</v>
      </c>
      <c r="AC78" s="3" t="str">
        <f t="shared" si="42"/>
        <v>(15 downto 8)</v>
      </c>
      <c r="AD78" s="3" t="str">
        <f t="shared" si="43"/>
        <v>(7 downto 0)</v>
      </c>
      <c r="AE78" s="3" t="str">
        <f t="shared" si="44"/>
        <v>(31 downto 24)</v>
      </c>
      <c r="AF78" s="3" t="str">
        <f t="shared" si="45"/>
        <v>(23 downto 16)</v>
      </c>
      <c r="AG78" s="3" t="str">
        <f t="shared" si="46"/>
        <v>(15 downto 8)</v>
      </c>
      <c r="AH78" s="3" t="str">
        <f t="shared" si="47"/>
        <v>(7 downto 0)</v>
      </c>
    </row>
    <row r="79" spans="2:34" x14ac:dyDescent="0.25">
      <c r="B79" s="3" t="s">
        <v>1283</v>
      </c>
      <c r="C79" s="3" t="s">
        <v>1286</v>
      </c>
      <c r="D79" s="3" t="s">
        <v>1</v>
      </c>
      <c r="E79" s="3" t="s">
        <v>223</v>
      </c>
      <c r="F79" s="3" t="s">
        <v>1307</v>
      </c>
      <c r="G79" s="3" t="s">
        <v>1308</v>
      </c>
      <c r="H79" s="3" t="s">
        <v>1315</v>
      </c>
      <c r="I79" s="3" t="s">
        <v>42</v>
      </c>
      <c r="J79" s="3">
        <v>16</v>
      </c>
      <c r="K79" s="3" t="s">
        <v>1334</v>
      </c>
      <c r="L79" s="3" t="s">
        <v>41</v>
      </c>
      <c r="M79" s="3" t="s">
        <v>227</v>
      </c>
      <c r="N79" s="3" t="s">
        <v>1335</v>
      </c>
      <c r="O79" s="3" t="s">
        <v>1340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256</v>
      </c>
      <c r="T79" s="3" t="str">
        <f t="shared" si="33"/>
        <v>100</v>
      </c>
      <c r="U79" s="3">
        <f t="shared" si="39"/>
        <v>64</v>
      </c>
      <c r="V79" s="3" t="str">
        <f t="shared" si="34"/>
        <v>40</v>
      </c>
      <c r="W79" s="3" t="str">
        <f t="shared" si="35"/>
        <v/>
      </c>
      <c r="X79" s="3" t="str">
        <f t="shared" si="36"/>
        <v/>
      </c>
      <c r="Y79" s="3" t="str">
        <f t="shared" si="37"/>
        <v>X</v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>(15 downto 8)</v>
      </c>
      <c r="AD79" s="3" t="str">
        <f t="shared" si="43"/>
        <v>(7 downto 0)</v>
      </c>
      <c r="AE79" s="3" t="str">
        <f t="shared" si="44"/>
        <v/>
      </c>
      <c r="AF79" s="3" t="str">
        <f t="shared" si="45"/>
        <v/>
      </c>
      <c r="AG79" s="3" t="str">
        <f t="shared" si="46"/>
        <v>(15 downto 8)</v>
      </c>
      <c r="AH79" s="3" t="str">
        <f t="shared" si="47"/>
        <v>(7 downto 0)</v>
      </c>
    </row>
    <row r="80" spans="2:34" x14ac:dyDescent="0.25">
      <c r="B80" s="3" t="s">
        <v>1283</v>
      </c>
      <c r="C80" s="3" t="s">
        <v>1287</v>
      </c>
      <c r="D80" s="3" t="s">
        <v>1</v>
      </c>
      <c r="E80" s="3" t="s">
        <v>223</v>
      </c>
      <c r="F80" s="3" t="s">
        <v>1307</v>
      </c>
      <c r="G80" s="3" t="s">
        <v>1308</v>
      </c>
      <c r="H80" s="3" t="s">
        <v>1316</v>
      </c>
      <c r="I80" s="3" t="s">
        <v>42</v>
      </c>
      <c r="J80" s="3">
        <v>6</v>
      </c>
      <c r="K80" s="3" t="s">
        <v>1334</v>
      </c>
      <c r="L80" s="3" t="s">
        <v>41</v>
      </c>
      <c r="M80" s="3" t="s">
        <v>227</v>
      </c>
      <c r="N80" s="3" t="s">
        <v>1335</v>
      </c>
      <c r="O80" s="3" t="s">
        <v>1341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260</v>
      </c>
      <c r="T80" s="3" t="str">
        <f t="shared" si="33"/>
        <v>104</v>
      </c>
      <c r="U80" s="3">
        <f t="shared" si="39"/>
        <v>65</v>
      </c>
      <c r="V80" s="3" t="str">
        <f t="shared" si="34"/>
        <v>41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(5 downto 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2:34" x14ac:dyDescent="0.25">
      <c r="B81" s="3" t="s">
        <v>1283</v>
      </c>
      <c r="C81" s="3" t="s">
        <v>1288</v>
      </c>
      <c r="D81" s="3" t="s">
        <v>1</v>
      </c>
      <c r="E81" s="3" t="s">
        <v>223</v>
      </c>
      <c r="F81" s="3" t="s">
        <v>1307</v>
      </c>
      <c r="G81" s="3" t="s">
        <v>1308</v>
      </c>
      <c r="H81" s="3" t="s">
        <v>1317</v>
      </c>
      <c r="I81" s="3" t="s">
        <v>42</v>
      </c>
      <c r="J81" s="3">
        <v>6</v>
      </c>
      <c r="K81" s="3" t="s">
        <v>1334</v>
      </c>
      <c r="L81" s="3" t="s">
        <v>41</v>
      </c>
      <c r="M81" s="3" t="s">
        <v>227</v>
      </c>
      <c r="N81" s="3" t="s">
        <v>1335</v>
      </c>
      <c r="O81" s="3" t="s">
        <v>1342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264</v>
      </c>
      <c r="T81" s="3" t="str">
        <f t="shared" si="33"/>
        <v>108</v>
      </c>
      <c r="U81" s="3">
        <f t="shared" si="39"/>
        <v>66</v>
      </c>
      <c r="V81" s="3" t="str">
        <f t="shared" si="34"/>
        <v>42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(5 downto 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2:34" x14ac:dyDescent="0.25">
      <c r="B82" s="3" t="s">
        <v>1283</v>
      </c>
      <c r="C82" s="3" t="s">
        <v>1289</v>
      </c>
      <c r="D82" s="3" t="s">
        <v>1</v>
      </c>
      <c r="E82" s="3" t="s">
        <v>223</v>
      </c>
      <c r="F82" s="3" t="s">
        <v>1307</v>
      </c>
      <c r="G82" s="3" t="s">
        <v>1308</v>
      </c>
      <c r="H82" s="3" t="s">
        <v>1318</v>
      </c>
      <c r="I82" s="3" t="s">
        <v>42</v>
      </c>
      <c r="J82" s="3">
        <v>10</v>
      </c>
      <c r="K82" s="3" t="s">
        <v>1334</v>
      </c>
      <c r="L82" s="3" t="s">
        <v>41</v>
      </c>
      <c r="M82" s="3" t="s">
        <v>227</v>
      </c>
      <c r="N82" s="3" t="s">
        <v>1335</v>
      </c>
      <c r="O82" s="3" t="s">
        <v>1343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268</v>
      </c>
      <c r="T82" s="3" t="str">
        <f t="shared" si="33"/>
        <v>10C</v>
      </c>
      <c r="U82" s="3">
        <f t="shared" si="39"/>
        <v>67</v>
      </c>
      <c r="V82" s="3" t="str">
        <f t="shared" si="34"/>
        <v>43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>(9 downto 8)</v>
      </c>
      <c r="AD82" s="3" t="str">
        <f t="shared" si="43"/>
        <v>(7 downto 0)</v>
      </c>
      <c r="AE82" s="3" t="str">
        <f t="shared" si="44"/>
        <v/>
      </c>
      <c r="AF82" s="3" t="str">
        <f t="shared" si="45"/>
        <v/>
      </c>
      <c r="AG82" s="3" t="str">
        <f t="shared" si="46"/>
        <v>(9 downto 8)</v>
      </c>
      <c r="AH82" s="3" t="str">
        <f t="shared" si="47"/>
        <v>(7 downto 0)</v>
      </c>
    </row>
    <row r="83" spans="2:34" x14ac:dyDescent="0.25">
      <c r="B83" s="3" t="s">
        <v>1283</v>
      </c>
      <c r="C83" s="3" t="s">
        <v>1290</v>
      </c>
      <c r="D83" s="3" t="s">
        <v>1</v>
      </c>
      <c r="E83" s="3" t="s">
        <v>223</v>
      </c>
      <c r="F83" s="3" t="s">
        <v>1307</v>
      </c>
      <c r="G83" s="3" t="s">
        <v>1308</v>
      </c>
      <c r="H83" s="3" t="s">
        <v>1319</v>
      </c>
      <c r="I83" s="3" t="s">
        <v>42</v>
      </c>
      <c r="J83" s="3">
        <v>10</v>
      </c>
      <c r="K83" s="3" t="s">
        <v>1334</v>
      </c>
      <c r="L83" s="3" t="s">
        <v>41</v>
      </c>
      <c r="M83" s="3" t="s">
        <v>227</v>
      </c>
      <c r="N83" s="3" t="s">
        <v>1335</v>
      </c>
      <c r="O83" s="3" t="s">
        <v>1344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272</v>
      </c>
      <c r="T83" s="3" t="str">
        <f t="shared" si="33"/>
        <v>110</v>
      </c>
      <c r="U83" s="3">
        <f t="shared" si="39"/>
        <v>68</v>
      </c>
      <c r="V83" s="3" t="str">
        <f t="shared" si="34"/>
        <v>44</v>
      </c>
      <c r="W83" s="3" t="str">
        <f t="shared" si="35"/>
        <v/>
      </c>
      <c r="X83" s="3" t="str">
        <f t="shared" si="36"/>
        <v/>
      </c>
      <c r="Y83" s="3" t="str">
        <f t="shared" si="37"/>
        <v>X</v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>(9 downto 8)</v>
      </c>
      <c r="AD83" s="3" t="str">
        <f t="shared" si="43"/>
        <v>(7 downto 0)</v>
      </c>
      <c r="AE83" s="3" t="str">
        <f t="shared" si="44"/>
        <v/>
      </c>
      <c r="AF83" s="3" t="str">
        <f t="shared" si="45"/>
        <v/>
      </c>
      <c r="AG83" s="3" t="str">
        <f t="shared" si="46"/>
        <v>(9 downto 8)</v>
      </c>
      <c r="AH83" s="3" t="str">
        <f t="shared" si="47"/>
        <v>(7 downto 0)</v>
      </c>
    </row>
    <row r="84" spans="2:34" x14ac:dyDescent="0.25">
      <c r="B84" s="3" t="s">
        <v>1291</v>
      </c>
      <c r="C84" s="3" t="s">
        <v>1292</v>
      </c>
      <c r="D84" s="3" t="s">
        <v>1</v>
      </c>
      <c r="E84" s="3" t="s">
        <v>223</v>
      </c>
      <c r="F84" s="3" t="s">
        <v>1309</v>
      </c>
      <c r="G84" s="3" t="s">
        <v>1310</v>
      </c>
      <c r="H84" s="3" t="s">
        <v>1320</v>
      </c>
      <c r="I84" s="3" t="s">
        <v>42</v>
      </c>
      <c r="J84" s="3">
        <v>32</v>
      </c>
      <c r="K84" s="3" t="s">
        <v>1334</v>
      </c>
      <c r="L84" s="3" t="s">
        <v>41</v>
      </c>
      <c r="M84" s="3" t="s">
        <v>227</v>
      </c>
      <c r="N84" s="3" t="s">
        <v>1336</v>
      </c>
      <c r="O84" s="3" t="s">
        <v>1345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276</v>
      </c>
      <c r="T84" s="3" t="str">
        <f t="shared" si="33"/>
        <v>114</v>
      </c>
      <c r="U84" s="3">
        <f t="shared" si="39"/>
        <v>69</v>
      </c>
      <c r="V84" s="3" t="str">
        <f t="shared" si="34"/>
        <v>45</v>
      </c>
      <c r="W84" s="3" t="str">
        <f t="shared" si="35"/>
        <v>X</v>
      </c>
      <c r="X84" s="3" t="str">
        <f t="shared" si="36"/>
        <v>X</v>
      </c>
      <c r="Y84" s="3" t="str">
        <f t="shared" si="37"/>
        <v>X</v>
      </c>
      <c r="Z84" s="3" t="str">
        <f t="shared" si="38"/>
        <v>X</v>
      </c>
      <c r="AA84" s="3" t="str">
        <f t="shared" si="40"/>
        <v>(31 downto 24)</v>
      </c>
      <c r="AB84" s="3" t="str">
        <f t="shared" si="41"/>
        <v>(23 downto 16)</v>
      </c>
      <c r="AC84" s="3" t="str">
        <f t="shared" si="42"/>
        <v>(15 downto 8)</v>
      </c>
      <c r="AD84" s="3" t="str">
        <f t="shared" si="43"/>
        <v>(7 downto 0)</v>
      </c>
      <c r="AE84" s="3" t="str">
        <f t="shared" si="44"/>
        <v>(31 downto 24)</v>
      </c>
      <c r="AF84" s="3" t="str">
        <f t="shared" si="45"/>
        <v>(23 downto 16)</v>
      </c>
      <c r="AG84" s="3" t="str">
        <f t="shared" si="46"/>
        <v>(15 downto 8)</v>
      </c>
      <c r="AH84" s="3" t="str">
        <f t="shared" si="47"/>
        <v>(7 downto 0)</v>
      </c>
    </row>
    <row r="85" spans="2:34" x14ac:dyDescent="0.25">
      <c r="B85" s="3" t="s">
        <v>1291</v>
      </c>
      <c r="C85" s="3" t="s">
        <v>1293</v>
      </c>
      <c r="D85" s="3" t="s">
        <v>1</v>
      </c>
      <c r="E85" s="3" t="s">
        <v>223</v>
      </c>
      <c r="F85" s="3" t="s">
        <v>1309</v>
      </c>
      <c r="G85" s="3" t="s">
        <v>1310</v>
      </c>
      <c r="H85" s="3" t="s">
        <v>1321</v>
      </c>
      <c r="I85" s="3" t="s">
        <v>42</v>
      </c>
      <c r="J85" s="3">
        <v>32</v>
      </c>
      <c r="K85" s="3" t="s">
        <v>1334</v>
      </c>
      <c r="L85" s="3" t="s">
        <v>41</v>
      </c>
      <c r="M85" s="3" t="s">
        <v>227</v>
      </c>
      <c r="N85" s="3" t="s">
        <v>1336</v>
      </c>
      <c r="O85" s="3" t="s">
        <v>1346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280</v>
      </c>
      <c r="T85" s="3" t="str">
        <f t="shared" si="33"/>
        <v>118</v>
      </c>
      <c r="U85" s="3">
        <f t="shared" si="39"/>
        <v>70</v>
      </c>
      <c r="V85" s="3" t="str">
        <f t="shared" si="34"/>
        <v>46</v>
      </c>
      <c r="W85" s="3" t="str">
        <f t="shared" si="35"/>
        <v>X</v>
      </c>
      <c r="X85" s="3" t="str">
        <f t="shared" si="36"/>
        <v>X</v>
      </c>
      <c r="Y85" s="3" t="str">
        <f t="shared" si="37"/>
        <v>X</v>
      </c>
      <c r="Z85" s="3" t="str">
        <f t="shared" si="38"/>
        <v>X</v>
      </c>
      <c r="AA85" s="3" t="str">
        <f t="shared" si="40"/>
        <v>(31 downto 24)</v>
      </c>
      <c r="AB85" s="3" t="str">
        <f t="shared" si="41"/>
        <v>(23 downto 16)</v>
      </c>
      <c r="AC85" s="3" t="str">
        <f t="shared" si="42"/>
        <v>(15 downto 8)</v>
      </c>
      <c r="AD85" s="3" t="str">
        <f t="shared" si="43"/>
        <v>(7 downto 0)</v>
      </c>
      <c r="AE85" s="3" t="str">
        <f t="shared" si="44"/>
        <v>(31 downto 24)</v>
      </c>
      <c r="AF85" s="3" t="str">
        <f t="shared" si="45"/>
        <v>(23 downto 16)</v>
      </c>
      <c r="AG85" s="3" t="str">
        <f t="shared" si="46"/>
        <v>(15 downto 8)</v>
      </c>
      <c r="AH85" s="3" t="str">
        <f t="shared" si="47"/>
        <v>(7 downto 0)</v>
      </c>
    </row>
    <row r="86" spans="2:34" x14ac:dyDescent="0.25">
      <c r="B86" s="3" t="s">
        <v>1291</v>
      </c>
      <c r="C86" s="3" t="s">
        <v>1294</v>
      </c>
      <c r="D86" s="3" t="s">
        <v>1</v>
      </c>
      <c r="E86" s="3" t="s">
        <v>223</v>
      </c>
      <c r="F86" s="3" t="s">
        <v>1309</v>
      </c>
      <c r="G86" s="3" t="s">
        <v>1310</v>
      </c>
      <c r="H86" s="3" t="s">
        <v>1322</v>
      </c>
      <c r="I86" s="3" t="s">
        <v>42</v>
      </c>
      <c r="J86" s="3">
        <v>16</v>
      </c>
      <c r="K86" s="3" t="s">
        <v>1334</v>
      </c>
      <c r="L86" s="3" t="s">
        <v>41</v>
      </c>
      <c r="M86" s="3" t="s">
        <v>227</v>
      </c>
      <c r="N86" s="3" t="s">
        <v>1336</v>
      </c>
      <c r="O86" s="3" t="s">
        <v>1347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284</v>
      </c>
      <c r="T86" s="3" t="str">
        <f t="shared" si="33"/>
        <v>11C</v>
      </c>
      <c r="U86" s="3">
        <f t="shared" si="39"/>
        <v>71</v>
      </c>
      <c r="V86" s="3" t="str">
        <f t="shared" si="34"/>
        <v>47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>(15 downto 8)</v>
      </c>
      <c r="AD86" s="3" t="str">
        <f t="shared" si="43"/>
        <v>(7 downto 0)</v>
      </c>
      <c r="AE86" s="3" t="str">
        <f t="shared" si="44"/>
        <v/>
      </c>
      <c r="AF86" s="3" t="str">
        <f t="shared" si="45"/>
        <v/>
      </c>
      <c r="AG86" s="3" t="str">
        <f t="shared" si="46"/>
        <v>(15 downto 8)</v>
      </c>
      <c r="AH86" s="3" t="str">
        <f t="shared" si="47"/>
        <v>(7 downto 0)</v>
      </c>
    </row>
    <row r="87" spans="2:34" x14ac:dyDescent="0.25">
      <c r="B87" s="3" t="s">
        <v>1291</v>
      </c>
      <c r="C87" s="3" t="s">
        <v>1295</v>
      </c>
      <c r="D87" s="3" t="s">
        <v>1</v>
      </c>
      <c r="E87" s="3" t="s">
        <v>223</v>
      </c>
      <c r="F87" s="3" t="s">
        <v>1309</v>
      </c>
      <c r="G87" s="3" t="s">
        <v>1310</v>
      </c>
      <c r="H87" s="3" t="s">
        <v>1323</v>
      </c>
      <c r="I87" s="3" t="s">
        <v>42</v>
      </c>
      <c r="J87" s="3">
        <v>6</v>
      </c>
      <c r="K87" s="3" t="s">
        <v>1334</v>
      </c>
      <c r="L87" s="3" t="s">
        <v>41</v>
      </c>
      <c r="M87" s="3" t="s">
        <v>227</v>
      </c>
      <c r="N87" s="3" t="s">
        <v>1336</v>
      </c>
      <c r="O87" s="3" t="s">
        <v>1348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288</v>
      </c>
      <c r="T87" s="3" t="str">
        <f t="shared" si="33"/>
        <v>120</v>
      </c>
      <c r="U87" s="3">
        <f t="shared" si="39"/>
        <v>72</v>
      </c>
      <c r="V87" s="3" t="str">
        <f t="shared" si="34"/>
        <v>48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(5 downto 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2:34" x14ac:dyDescent="0.25">
      <c r="B88" s="3" t="s">
        <v>1291</v>
      </c>
      <c r="C88" s="3" t="s">
        <v>1296</v>
      </c>
      <c r="D88" s="3" t="s">
        <v>1</v>
      </c>
      <c r="E88" s="3" t="s">
        <v>223</v>
      </c>
      <c r="F88" s="3" t="s">
        <v>1309</v>
      </c>
      <c r="G88" s="3" t="s">
        <v>1310</v>
      </c>
      <c r="H88" s="3" t="s">
        <v>1324</v>
      </c>
      <c r="I88" s="3" t="s">
        <v>42</v>
      </c>
      <c r="J88" s="3">
        <v>6</v>
      </c>
      <c r="K88" s="3" t="s">
        <v>1334</v>
      </c>
      <c r="L88" s="3" t="s">
        <v>41</v>
      </c>
      <c r="M88" s="3" t="s">
        <v>227</v>
      </c>
      <c r="N88" s="3" t="s">
        <v>1336</v>
      </c>
      <c r="O88" s="3" t="s">
        <v>1349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292</v>
      </c>
      <c r="T88" s="3" t="str">
        <f t="shared" si="33"/>
        <v>124</v>
      </c>
      <c r="U88" s="3">
        <f t="shared" si="39"/>
        <v>73</v>
      </c>
      <c r="V88" s="3" t="str">
        <f t="shared" si="34"/>
        <v>49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(5 downto 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2:34" x14ac:dyDescent="0.25">
      <c r="B89" s="3" t="s">
        <v>1291</v>
      </c>
      <c r="C89" s="3" t="s">
        <v>1297</v>
      </c>
      <c r="D89" s="3" t="s">
        <v>1</v>
      </c>
      <c r="E89" s="3" t="s">
        <v>223</v>
      </c>
      <c r="F89" s="3" t="s">
        <v>1309</v>
      </c>
      <c r="G89" s="3" t="s">
        <v>1310</v>
      </c>
      <c r="H89" s="3" t="s">
        <v>1325</v>
      </c>
      <c r="I89" s="3" t="s">
        <v>42</v>
      </c>
      <c r="J89" s="3">
        <v>10</v>
      </c>
      <c r="K89" s="3" t="s">
        <v>1334</v>
      </c>
      <c r="L89" s="3" t="s">
        <v>41</v>
      </c>
      <c r="M89" s="3" t="s">
        <v>227</v>
      </c>
      <c r="N89" s="3" t="s">
        <v>1336</v>
      </c>
      <c r="O89" s="3" t="s">
        <v>1350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296</v>
      </c>
      <c r="T89" s="3" t="str">
        <f t="shared" si="33"/>
        <v>128</v>
      </c>
      <c r="U89" s="3">
        <f t="shared" si="39"/>
        <v>74</v>
      </c>
      <c r="V89" s="3" t="str">
        <f t="shared" si="34"/>
        <v>4A</v>
      </c>
      <c r="W89" s="3" t="str">
        <f t="shared" si="35"/>
        <v/>
      </c>
      <c r="X89" s="3" t="str">
        <f t="shared" si="36"/>
        <v/>
      </c>
      <c r="Y89" s="3" t="str">
        <f t="shared" si="37"/>
        <v>X</v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>(9 downto 8)</v>
      </c>
      <c r="AD89" s="3" t="str">
        <f t="shared" si="43"/>
        <v>(7 downto 0)</v>
      </c>
      <c r="AE89" s="3" t="str">
        <f t="shared" si="44"/>
        <v/>
      </c>
      <c r="AF89" s="3" t="str">
        <f t="shared" si="45"/>
        <v/>
      </c>
      <c r="AG89" s="3" t="str">
        <f t="shared" si="46"/>
        <v>(9 downto 8)</v>
      </c>
      <c r="AH89" s="3" t="str">
        <f t="shared" si="47"/>
        <v>(7 downto 0)</v>
      </c>
    </row>
    <row r="90" spans="2:34" x14ac:dyDescent="0.25">
      <c r="B90" s="3" t="s">
        <v>1291</v>
      </c>
      <c r="C90" s="3" t="s">
        <v>1298</v>
      </c>
      <c r="D90" s="3" t="s">
        <v>1</v>
      </c>
      <c r="E90" s="3" t="s">
        <v>223</v>
      </c>
      <c r="F90" s="3" t="s">
        <v>1309</v>
      </c>
      <c r="G90" s="3" t="s">
        <v>1310</v>
      </c>
      <c r="H90" s="3" t="s">
        <v>1326</v>
      </c>
      <c r="I90" s="3" t="s">
        <v>42</v>
      </c>
      <c r="J90" s="3">
        <v>10</v>
      </c>
      <c r="K90" s="3" t="s">
        <v>1334</v>
      </c>
      <c r="L90" s="3" t="s">
        <v>41</v>
      </c>
      <c r="M90" s="3" t="s">
        <v>227</v>
      </c>
      <c r="N90" s="3" t="s">
        <v>1336</v>
      </c>
      <c r="O90" s="3" t="s">
        <v>1351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300</v>
      </c>
      <c r="T90" s="3" t="str">
        <f t="shared" si="33"/>
        <v>12C</v>
      </c>
      <c r="U90" s="3">
        <f t="shared" si="39"/>
        <v>75</v>
      </c>
      <c r="V90" s="3" t="str">
        <f t="shared" si="34"/>
        <v>4B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>(9 downto 8)</v>
      </c>
      <c r="AD90" s="3" t="str">
        <f t="shared" si="43"/>
        <v>(7 downto 0)</v>
      </c>
      <c r="AE90" s="3" t="str">
        <f t="shared" si="44"/>
        <v/>
      </c>
      <c r="AF90" s="3" t="str">
        <f t="shared" si="45"/>
        <v/>
      </c>
      <c r="AG90" s="3" t="str">
        <f t="shared" si="46"/>
        <v>(9 downto 8)</v>
      </c>
      <c r="AH90" s="3" t="str">
        <f t="shared" si="47"/>
        <v>(7 downto 0)</v>
      </c>
    </row>
    <row r="91" spans="2:34" x14ac:dyDescent="0.25">
      <c r="B91" s="3" t="s">
        <v>1299</v>
      </c>
      <c r="C91" s="3" t="s">
        <v>1300</v>
      </c>
      <c r="D91" s="3" t="s">
        <v>1</v>
      </c>
      <c r="E91" s="3" t="s">
        <v>223</v>
      </c>
      <c r="F91" s="3" t="s">
        <v>1311</v>
      </c>
      <c r="G91" s="3" t="s">
        <v>1312</v>
      </c>
      <c r="H91" s="3" t="s">
        <v>1327</v>
      </c>
      <c r="I91" s="3" t="s">
        <v>42</v>
      </c>
      <c r="J91" s="3">
        <v>32</v>
      </c>
      <c r="K91" s="3" t="s">
        <v>1334</v>
      </c>
      <c r="L91" s="3" t="s">
        <v>41</v>
      </c>
      <c r="M91" s="3" t="s">
        <v>227</v>
      </c>
      <c r="N91" s="3" t="s">
        <v>1337</v>
      </c>
      <c r="O91" s="3" t="s">
        <v>1352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304</v>
      </c>
      <c r="T91" s="3" t="str">
        <f t="shared" si="33"/>
        <v>130</v>
      </c>
      <c r="U91" s="3">
        <f t="shared" si="39"/>
        <v>76</v>
      </c>
      <c r="V91" s="3" t="str">
        <f t="shared" si="34"/>
        <v>4C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2:34" x14ac:dyDescent="0.25">
      <c r="B92" s="3" t="s">
        <v>1299</v>
      </c>
      <c r="C92" s="3" t="s">
        <v>1301</v>
      </c>
      <c r="D92" s="3" t="s">
        <v>1</v>
      </c>
      <c r="E92" s="3" t="s">
        <v>223</v>
      </c>
      <c r="F92" s="3" t="s">
        <v>1311</v>
      </c>
      <c r="G92" s="3" t="s">
        <v>1312</v>
      </c>
      <c r="H92" s="3" t="s">
        <v>1328</v>
      </c>
      <c r="I92" s="3" t="s">
        <v>42</v>
      </c>
      <c r="J92" s="3">
        <v>32</v>
      </c>
      <c r="K92" s="3" t="s">
        <v>1334</v>
      </c>
      <c r="L92" s="3" t="s">
        <v>41</v>
      </c>
      <c r="M92" s="3" t="s">
        <v>227</v>
      </c>
      <c r="N92" s="3" t="s">
        <v>1337</v>
      </c>
      <c r="O92" s="3" t="s">
        <v>1353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308</v>
      </c>
      <c r="T92" s="3" t="str">
        <f t="shared" si="33"/>
        <v>134</v>
      </c>
      <c r="U92" s="3">
        <f t="shared" si="39"/>
        <v>77</v>
      </c>
      <c r="V92" s="3" t="str">
        <f t="shared" si="34"/>
        <v>4D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2:34" x14ac:dyDescent="0.25">
      <c r="B93" s="3" t="s">
        <v>1299</v>
      </c>
      <c r="C93" s="3" t="s">
        <v>1302</v>
      </c>
      <c r="D93" s="3" t="s">
        <v>1</v>
      </c>
      <c r="E93" s="3" t="s">
        <v>223</v>
      </c>
      <c r="F93" s="3" t="s">
        <v>1311</v>
      </c>
      <c r="G93" s="3" t="s">
        <v>1312</v>
      </c>
      <c r="H93" s="3" t="s">
        <v>1329</v>
      </c>
      <c r="I93" s="3" t="s">
        <v>42</v>
      </c>
      <c r="J93" s="3">
        <v>16</v>
      </c>
      <c r="K93" s="3" t="s">
        <v>1334</v>
      </c>
      <c r="L93" s="3" t="s">
        <v>41</v>
      </c>
      <c r="M93" s="3" t="s">
        <v>227</v>
      </c>
      <c r="N93" s="3" t="s">
        <v>1337</v>
      </c>
      <c r="O93" s="3" t="s">
        <v>1354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33"/>
        <v>138</v>
      </c>
      <c r="U93" s="3">
        <f t="shared" si="39"/>
        <v>78</v>
      </c>
      <c r="V93" s="3" t="str">
        <f t="shared" si="34"/>
        <v>4E</v>
      </c>
      <c r="W93" s="3" t="str">
        <f t="shared" si="35"/>
        <v/>
      </c>
      <c r="X93" s="3" t="str">
        <f t="shared" si="36"/>
        <v/>
      </c>
      <c r="Y93" s="3" t="str">
        <f t="shared" si="37"/>
        <v>X</v>
      </c>
      <c r="Z93" s="3" t="str">
        <f t="shared" si="38"/>
        <v>X</v>
      </c>
      <c r="AA93" s="3" t="str">
        <f t="shared" si="40"/>
        <v/>
      </c>
      <c r="AB93" s="3" t="str">
        <f t="shared" si="41"/>
        <v/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/>
      </c>
      <c r="AF93" s="3" t="str">
        <f t="shared" si="45"/>
        <v/>
      </c>
      <c r="AG93" s="3" t="str">
        <f t="shared" si="46"/>
        <v>(15 downto 8)</v>
      </c>
      <c r="AH93" s="3" t="str">
        <f t="shared" si="47"/>
        <v>(7 downto 0)</v>
      </c>
    </row>
    <row r="94" spans="2:34" x14ac:dyDescent="0.25">
      <c r="B94" s="3" t="s">
        <v>1299</v>
      </c>
      <c r="C94" s="3" t="s">
        <v>1303</v>
      </c>
      <c r="D94" s="3" t="s">
        <v>1</v>
      </c>
      <c r="E94" s="3" t="s">
        <v>223</v>
      </c>
      <c r="F94" s="3" t="s">
        <v>1311</v>
      </c>
      <c r="G94" s="3" t="s">
        <v>1312</v>
      </c>
      <c r="H94" s="3" t="s">
        <v>1330</v>
      </c>
      <c r="I94" s="3" t="s">
        <v>42</v>
      </c>
      <c r="J94" s="3">
        <v>6</v>
      </c>
      <c r="K94" s="3" t="s">
        <v>1334</v>
      </c>
      <c r="L94" s="3" t="s">
        <v>41</v>
      </c>
      <c r="M94" s="3" t="s">
        <v>227</v>
      </c>
      <c r="N94" s="3" t="s">
        <v>1337</v>
      </c>
      <c r="O94" s="3" t="s">
        <v>1355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316</v>
      </c>
      <c r="T94" s="3" t="str">
        <f t="shared" si="33"/>
        <v>13C</v>
      </c>
      <c r="U94" s="3">
        <f t="shared" si="39"/>
        <v>79</v>
      </c>
      <c r="V94" s="3" t="str">
        <f t="shared" si="34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/>
      </c>
      <c r="AD94" s="3" t="str">
        <f t="shared" si="43"/>
        <v>(5 downto 0)</v>
      </c>
      <c r="AE94" s="3" t="str">
        <f t="shared" si="44"/>
        <v/>
      </c>
      <c r="AF94" s="3" t="str">
        <f t="shared" si="45"/>
        <v/>
      </c>
      <c r="AG94" s="3" t="str">
        <f t="shared" si="46"/>
        <v/>
      </c>
      <c r="AH94" s="3" t="str">
        <f t="shared" si="47"/>
        <v/>
      </c>
    </row>
    <row r="95" spans="2:34" x14ac:dyDescent="0.25">
      <c r="B95" s="3" t="s">
        <v>1299</v>
      </c>
      <c r="C95" s="3" t="s">
        <v>1304</v>
      </c>
      <c r="D95" s="3" t="s">
        <v>1</v>
      </c>
      <c r="E95" s="3" t="s">
        <v>223</v>
      </c>
      <c r="F95" s="3" t="s">
        <v>1311</v>
      </c>
      <c r="G95" s="3" t="s">
        <v>1312</v>
      </c>
      <c r="H95" s="3" t="s">
        <v>1331</v>
      </c>
      <c r="I95" s="3" t="s">
        <v>42</v>
      </c>
      <c r="J95" s="3">
        <v>6</v>
      </c>
      <c r="K95" s="3" t="s">
        <v>1334</v>
      </c>
      <c r="L95" s="3" t="s">
        <v>41</v>
      </c>
      <c r="M95" s="3" t="s">
        <v>227</v>
      </c>
      <c r="N95" s="3" t="s">
        <v>1337</v>
      </c>
      <c r="O95" s="3" t="s">
        <v>1356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33"/>
        <v>140</v>
      </c>
      <c r="U95" s="3">
        <f t="shared" si="39"/>
        <v>80</v>
      </c>
      <c r="V95" s="3" t="str">
        <f t="shared" si="34"/>
        <v>50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40"/>
        <v/>
      </c>
      <c r="AB95" s="3" t="str">
        <f t="shared" si="41"/>
        <v/>
      </c>
      <c r="AC95" s="3" t="str">
        <f t="shared" si="42"/>
        <v/>
      </c>
      <c r="AD95" s="3" t="str">
        <f t="shared" si="43"/>
        <v>(5 downto 0)</v>
      </c>
      <c r="AE95" s="3" t="str">
        <f t="shared" si="44"/>
        <v/>
      </c>
      <c r="AF95" s="3" t="str">
        <f t="shared" si="45"/>
        <v/>
      </c>
      <c r="AG95" s="3" t="str">
        <f t="shared" si="46"/>
        <v/>
      </c>
      <c r="AH95" s="3" t="str">
        <f t="shared" si="47"/>
        <v/>
      </c>
    </row>
    <row r="96" spans="2:34" x14ac:dyDescent="0.25">
      <c r="B96" s="3" t="s">
        <v>1299</v>
      </c>
      <c r="C96" s="3" t="s">
        <v>1305</v>
      </c>
      <c r="D96" s="3" t="s">
        <v>1</v>
      </c>
      <c r="E96" s="3" t="s">
        <v>223</v>
      </c>
      <c r="F96" s="3" t="s">
        <v>1311</v>
      </c>
      <c r="G96" s="3" t="s">
        <v>1312</v>
      </c>
      <c r="H96" s="3" t="s">
        <v>1332</v>
      </c>
      <c r="I96" s="3" t="s">
        <v>42</v>
      </c>
      <c r="J96" s="3">
        <v>10</v>
      </c>
      <c r="K96" s="3" t="s">
        <v>1334</v>
      </c>
      <c r="L96" s="3" t="s">
        <v>41</v>
      </c>
      <c r="M96" s="3" t="s">
        <v>227</v>
      </c>
      <c r="N96" s="3" t="s">
        <v>1337</v>
      </c>
      <c r="O96" s="3" t="s">
        <v>1357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>(9 downto 8)</v>
      </c>
      <c r="AD96" s="3" t="str">
        <f t="shared" si="43"/>
        <v>(7 downto 0)</v>
      </c>
      <c r="AE96" s="3" t="str">
        <f t="shared" si="44"/>
        <v/>
      </c>
      <c r="AF96" s="3" t="str">
        <f t="shared" si="45"/>
        <v/>
      </c>
      <c r="AG96" s="3" t="str">
        <f t="shared" si="46"/>
        <v>(9 downto 8)</v>
      </c>
      <c r="AH96" s="3" t="str">
        <f t="shared" si="47"/>
        <v>(7 downto 0)</v>
      </c>
    </row>
    <row r="97" spans="2:34" x14ac:dyDescent="0.25">
      <c r="B97" s="3" t="s">
        <v>1299</v>
      </c>
      <c r="C97" s="3" t="s">
        <v>1306</v>
      </c>
      <c r="D97" s="3" t="s">
        <v>1</v>
      </c>
      <c r="E97" s="3" t="s">
        <v>223</v>
      </c>
      <c r="F97" s="3" t="s">
        <v>1311</v>
      </c>
      <c r="G97" s="3" t="s">
        <v>1312</v>
      </c>
      <c r="H97" s="3" t="s">
        <v>1333</v>
      </c>
      <c r="I97" s="3" t="s">
        <v>42</v>
      </c>
      <c r="J97" s="3">
        <v>10</v>
      </c>
      <c r="K97" s="3" t="s">
        <v>1334</v>
      </c>
      <c r="L97" s="3" t="s">
        <v>41</v>
      </c>
      <c r="M97" s="3" t="s">
        <v>227</v>
      </c>
      <c r="N97" s="3" t="s">
        <v>1337</v>
      </c>
      <c r="O97" s="3" t="s">
        <v>1358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/>
      </c>
      <c r="X97" s="3" t="str">
        <f t="shared" si="36"/>
        <v/>
      </c>
      <c r="Y97" s="3" t="str">
        <f t="shared" si="37"/>
        <v>X</v>
      </c>
      <c r="Z97" s="3" t="str">
        <f t="shared" si="38"/>
        <v>X</v>
      </c>
      <c r="AA97" s="3" t="str">
        <f t="shared" si="40"/>
        <v/>
      </c>
      <c r="AB97" s="3" t="str">
        <f t="shared" si="41"/>
        <v/>
      </c>
      <c r="AC97" s="3" t="str">
        <f t="shared" si="42"/>
        <v>(9 downto 8)</v>
      </c>
      <c r="AD97" s="3" t="str">
        <f t="shared" si="43"/>
        <v>(7 downto 0)</v>
      </c>
      <c r="AE97" s="3" t="str">
        <f t="shared" si="44"/>
        <v/>
      </c>
      <c r="AF97" s="3" t="str">
        <f t="shared" si="45"/>
        <v/>
      </c>
      <c r="AG97" s="3" t="str">
        <f t="shared" si="46"/>
        <v>(9 downto 8)</v>
      </c>
      <c r="AH97" s="3" t="str">
        <f t="shared" si="47"/>
        <v>(7 downto 0)</v>
      </c>
    </row>
    <row r="98" spans="2:34" x14ac:dyDescent="0.25">
      <c r="B98" s="3" t="s">
        <v>1612</v>
      </c>
      <c r="C98" s="3" t="s">
        <v>1613</v>
      </c>
      <c r="D98" s="3" t="s">
        <v>1</v>
      </c>
      <c r="E98" s="3" t="s">
        <v>223</v>
      </c>
      <c r="F98" s="3" t="s">
        <v>1620</v>
      </c>
      <c r="G98" s="3" t="s">
        <v>1621</v>
      </c>
      <c r="H98" s="3" t="s">
        <v>1622</v>
      </c>
      <c r="I98" s="3" t="s">
        <v>42</v>
      </c>
      <c r="J98" s="3">
        <v>32</v>
      </c>
      <c r="K98" s="3" t="s">
        <v>1334</v>
      </c>
      <c r="L98" s="3" t="s">
        <v>41</v>
      </c>
      <c r="M98" s="3" t="s">
        <v>227</v>
      </c>
      <c r="N98" s="3" t="s">
        <v>1629</v>
      </c>
      <c r="O98" s="3" t="s">
        <v>1630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4" x14ac:dyDescent="0.25">
      <c r="B99" s="3" t="s">
        <v>1612</v>
      </c>
      <c r="C99" s="3" t="s">
        <v>1614</v>
      </c>
      <c r="D99" s="3" t="s">
        <v>1</v>
      </c>
      <c r="E99" s="3" t="s">
        <v>223</v>
      </c>
      <c r="F99" s="3" t="s">
        <v>1620</v>
      </c>
      <c r="G99" s="3" t="s">
        <v>1621</v>
      </c>
      <c r="H99" s="3" t="s">
        <v>1623</v>
      </c>
      <c r="I99" s="3" t="s">
        <v>42</v>
      </c>
      <c r="J99" s="3">
        <v>32</v>
      </c>
      <c r="K99" s="3" t="s">
        <v>1334</v>
      </c>
      <c r="L99" s="3" t="s">
        <v>41</v>
      </c>
      <c r="M99" s="3" t="s">
        <v>227</v>
      </c>
      <c r="N99" s="3" t="s">
        <v>1629</v>
      </c>
      <c r="O99" s="3" t="s">
        <v>1631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4" x14ac:dyDescent="0.25">
      <c r="B100" s="3" t="s">
        <v>1612</v>
      </c>
      <c r="C100" s="3" t="s">
        <v>1615</v>
      </c>
      <c r="D100" s="3" t="s">
        <v>1</v>
      </c>
      <c r="E100" s="3" t="s">
        <v>223</v>
      </c>
      <c r="F100" s="3" t="s">
        <v>1620</v>
      </c>
      <c r="G100" s="3" t="s">
        <v>1621</v>
      </c>
      <c r="H100" s="3" t="s">
        <v>1624</v>
      </c>
      <c r="I100" s="3" t="s">
        <v>42</v>
      </c>
      <c r="J100" s="3">
        <v>16</v>
      </c>
      <c r="K100" s="3" t="s">
        <v>1334</v>
      </c>
      <c r="L100" s="3" t="s">
        <v>41</v>
      </c>
      <c r="M100" s="3" t="s">
        <v>227</v>
      </c>
      <c r="N100" s="3" t="s">
        <v>1629</v>
      </c>
      <c r="O100" s="3" t="s">
        <v>1632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>X</v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>(15 downto 8)</v>
      </c>
      <c r="AD100" s="3" t="str">
        <f t="shared" si="43"/>
        <v>(7 downto 0)</v>
      </c>
      <c r="AE100" s="3" t="str">
        <f t="shared" si="44"/>
        <v/>
      </c>
      <c r="AF100" s="3" t="str">
        <f t="shared" si="45"/>
        <v/>
      </c>
      <c r="AG100" s="3" t="str">
        <f t="shared" si="46"/>
        <v>(15 downto 8)</v>
      </c>
      <c r="AH100" s="3" t="str">
        <f t="shared" si="47"/>
        <v>(7 downto 0)</v>
      </c>
    </row>
    <row r="101" spans="2:34" x14ac:dyDescent="0.25">
      <c r="B101" s="3" t="s">
        <v>1612</v>
      </c>
      <c r="C101" s="3" t="s">
        <v>1616</v>
      </c>
      <c r="D101" s="3" t="s">
        <v>1</v>
      </c>
      <c r="E101" s="3" t="s">
        <v>223</v>
      </c>
      <c r="F101" s="3" t="s">
        <v>1620</v>
      </c>
      <c r="G101" s="3" t="s">
        <v>1621</v>
      </c>
      <c r="H101" s="3" t="s">
        <v>1625</v>
      </c>
      <c r="I101" s="3" t="s">
        <v>42</v>
      </c>
      <c r="J101" s="3">
        <v>6</v>
      </c>
      <c r="K101" s="3" t="s">
        <v>1334</v>
      </c>
      <c r="L101" s="3" t="s">
        <v>41</v>
      </c>
      <c r="M101" s="3" t="s">
        <v>227</v>
      </c>
      <c r="N101" s="3" t="s">
        <v>1629</v>
      </c>
      <c r="O101" s="3" t="s">
        <v>1633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(5 downto 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1612</v>
      </c>
      <c r="C102" s="3" t="s">
        <v>1617</v>
      </c>
      <c r="D102" s="3" t="s">
        <v>1</v>
      </c>
      <c r="E102" s="3" t="s">
        <v>223</v>
      </c>
      <c r="F102" s="3" t="s">
        <v>1620</v>
      </c>
      <c r="G102" s="3" t="s">
        <v>1621</v>
      </c>
      <c r="H102" s="3" t="s">
        <v>1626</v>
      </c>
      <c r="I102" s="3" t="s">
        <v>42</v>
      </c>
      <c r="J102" s="3">
        <v>6</v>
      </c>
      <c r="K102" s="3" t="s">
        <v>1334</v>
      </c>
      <c r="L102" s="3" t="s">
        <v>41</v>
      </c>
      <c r="M102" s="3" t="s">
        <v>227</v>
      </c>
      <c r="N102" s="3" t="s">
        <v>1629</v>
      </c>
      <c r="O102" s="3" t="s">
        <v>1634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(5 downto 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1612</v>
      </c>
      <c r="C103" s="3" t="s">
        <v>1618</v>
      </c>
      <c r="D103" s="3" t="s">
        <v>1</v>
      </c>
      <c r="E103" s="3" t="s">
        <v>223</v>
      </c>
      <c r="F103" s="3" t="s">
        <v>1620</v>
      </c>
      <c r="G103" s="3" t="s">
        <v>1621</v>
      </c>
      <c r="H103" s="3" t="s">
        <v>1627</v>
      </c>
      <c r="I103" s="3" t="s">
        <v>42</v>
      </c>
      <c r="J103" s="3">
        <v>10</v>
      </c>
      <c r="K103" s="3" t="s">
        <v>1334</v>
      </c>
      <c r="L103" s="3" t="s">
        <v>41</v>
      </c>
      <c r="M103" s="3" t="s">
        <v>227</v>
      </c>
      <c r="N103" s="3" t="s">
        <v>1629</v>
      </c>
      <c r="O103" s="3" t="s">
        <v>1635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>X</v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>(9 downto 8)</v>
      </c>
      <c r="AD103" s="3" t="str">
        <f t="shared" si="43"/>
        <v>(7 downto 0)</v>
      </c>
      <c r="AE103" s="3" t="str">
        <f t="shared" si="44"/>
        <v/>
      </c>
      <c r="AF103" s="3" t="str">
        <f t="shared" si="45"/>
        <v/>
      </c>
      <c r="AG103" s="3" t="str">
        <f t="shared" si="46"/>
        <v>(9 downto 8)</v>
      </c>
      <c r="AH103" s="3" t="str">
        <f t="shared" si="47"/>
        <v>(7 downto 0)</v>
      </c>
    </row>
    <row r="104" spans="2:34" x14ac:dyDescent="0.25">
      <c r="B104" s="3" t="s">
        <v>1612</v>
      </c>
      <c r="C104" s="3" t="s">
        <v>1619</v>
      </c>
      <c r="D104" s="3" t="s">
        <v>1</v>
      </c>
      <c r="E104" s="3" t="s">
        <v>223</v>
      </c>
      <c r="F104" s="3" t="s">
        <v>1620</v>
      </c>
      <c r="G104" s="3" t="s">
        <v>1621</v>
      </c>
      <c r="H104" s="3" t="s">
        <v>1628</v>
      </c>
      <c r="I104" s="3" t="s">
        <v>42</v>
      </c>
      <c r="J104" s="3">
        <v>10</v>
      </c>
      <c r="K104" s="3" t="s">
        <v>1334</v>
      </c>
      <c r="L104" s="3" t="s">
        <v>41</v>
      </c>
      <c r="M104" s="3" t="s">
        <v>227</v>
      </c>
      <c r="N104" s="3" t="s">
        <v>1629</v>
      </c>
      <c r="O104" s="3" t="s">
        <v>1636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356</v>
      </c>
      <c r="T104" s="3" t="str">
        <f t="shared" si="33"/>
        <v>164</v>
      </c>
      <c r="U104" s="3">
        <f t="shared" si="39"/>
        <v>89</v>
      </c>
      <c r="V104" s="3" t="str">
        <f t="shared" si="34"/>
        <v>59</v>
      </c>
      <c r="W104" s="3" t="str">
        <f t="shared" si="35"/>
        <v/>
      </c>
      <c r="X104" s="3" t="str">
        <f t="shared" si="36"/>
        <v/>
      </c>
      <c r="Y104" s="3" t="str">
        <f t="shared" si="37"/>
        <v>X</v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>(9 downto 8)</v>
      </c>
      <c r="AD104" s="3" t="str">
        <f t="shared" si="43"/>
        <v>(7 downto 0)</v>
      </c>
      <c r="AE104" s="3" t="str">
        <f t="shared" si="44"/>
        <v/>
      </c>
      <c r="AF104" s="3" t="str">
        <f t="shared" si="45"/>
        <v/>
      </c>
      <c r="AG104" s="3" t="str">
        <f t="shared" si="46"/>
        <v>(9 downto 8)</v>
      </c>
      <c r="AH104" s="3" t="str">
        <f t="shared" si="47"/>
        <v>(7 downto 0)</v>
      </c>
    </row>
    <row r="105" spans="2:34" x14ac:dyDescent="0.25">
      <c r="B105" s="3" t="s">
        <v>443</v>
      </c>
      <c r="C105" s="3" t="s">
        <v>444</v>
      </c>
      <c r="D105" s="3" t="s">
        <v>0</v>
      </c>
      <c r="E105" s="3" t="s">
        <v>251</v>
      </c>
      <c r="F105" s="3" t="s">
        <v>445</v>
      </c>
      <c r="G105" s="3" t="s">
        <v>446</v>
      </c>
      <c r="H105" s="3" t="s">
        <v>447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448</v>
      </c>
      <c r="O105" s="3" t="s">
        <v>449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360</v>
      </c>
      <c r="T105" s="3" t="str">
        <f t="shared" si="33"/>
        <v>168</v>
      </c>
      <c r="U105" s="3">
        <f t="shared" si="39"/>
        <v>90</v>
      </c>
      <c r="V105" s="3" t="str">
        <f t="shared" si="34"/>
        <v>5A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4" x14ac:dyDescent="0.25">
      <c r="B106" s="3" t="s">
        <v>443</v>
      </c>
      <c r="C106" s="3" t="s">
        <v>450</v>
      </c>
      <c r="D106" s="3" t="s">
        <v>0</v>
      </c>
      <c r="E106" s="3" t="s">
        <v>251</v>
      </c>
      <c r="F106" s="3" t="s">
        <v>445</v>
      </c>
      <c r="G106" s="3" t="s">
        <v>446</v>
      </c>
      <c r="H106" s="3" t="s">
        <v>451</v>
      </c>
      <c r="I106" s="3" t="s">
        <v>42</v>
      </c>
      <c r="J106" s="3">
        <v>16</v>
      </c>
      <c r="K106" s="3" t="s">
        <v>41</v>
      </c>
      <c r="L106" s="3" t="s">
        <v>41</v>
      </c>
      <c r="M106" s="3" t="s">
        <v>227</v>
      </c>
      <c r="N106" s="3" t="s">
        <v>448</v>
      </c>
      <c r="O106" s="3" t="s">
        <v>452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364</v>
      </c>
      <c r="T106" s="3" t="str">
        <f t="shared" si="33"/>
        <v>16C</v>
      </c>
      <c r="U106" s="3">
        <f t="shared" si="39"/>
        <v>91</v>
      </c>
      <c r="V106" s="3" t="str">
        <f t="shared" si="34"/>
        <v>5B</v>
      </c>
      <c r="W106" s="3" t="str">
        <f t="shared" si="35"/>
        <v/>
      </c>
      <c r="X106" s="3" t="str">
        <f t="shared" si="36"/>
        <v/>
      </c>
      <c r="Y106" s="3" t="str">
        <f t="shared" si="37"/>
        <v>X</v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/>
      </c>
      <c r="AF106" s="3" t="str">
        <f t="shared" si="45"/>
        <v/>
      </c>
      <c r="AG106" s="3" t="str">
        <f t="shared" si="46"/>
        <v>(15 downto 8)</v>
      </c>
      <c r="AH106" s="3" t="str">
        <f t="shared" si="47"/>
        <v>(7 downto 0)</v>
      </c>
    </row>
    <row r="107" spans="2:34" x14ac:dyDescent="0.25">
      <c r="B107" s="3" t="s">
        <v>443</v>
      </c>
      <c r="C107" s="3" t="s">
        <v>453</v>
      </c>
      <c r="D107" s="3" t="s">
        <v>0</v>
      </c>
      <c r="E107" s="3" t="s">
        <v>251</v>
      </c>
      <c r="F107" s="3" t="s">
        <v>445</v>
      </c>
      <c r="G107" s="3" t="s">
        <v>446</v>
      </c>
      <c r="H107" s="3" t="s">
        <v>454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448</v>
      </c>
      <c r="O107" s="3" t="s">
        <v>455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368</v>
      </c>
      <c r="T107" s="3" t="str">
        <f t="shared" si="33"/>
        <v>170</v>
      </c>
      <c r="U107" s="3">
        <f t="shared" si="39"/>
        <v>92</v>
      </c>
      <c r="V107" s="3" t="str">
        <f t="shared" si="34"/>
        <v>5C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</row>
    <row r="108" spans="2:34" x14ac:dyDescent="0.25">
      <c r="B108" s="3" t="s">
        <v>443</v>
      </c>
      <c r="C108" s="3" t="s">
        <v>456</v>
      </c>
      <c r="D108" s="3" t="s">
        <v>0</v>
      </c>
      <c r="E108" s="3" t="s">
        <v>251</v>
      </c>
      <c r="F108" s="3" t="s">
        <v>445</v>
      </c>
      <c r="G108" s="3" t="s">
        <v>446</v>
      </c>
      <c r="H108" s="3" t="s">
        <v>457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448</v>
      </c>
      <c r="O108" s="3" t="s">
        <v>458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372</v>
      </c>
      <c r="T108" s="3" t="str">
        <f t="shared" si="33"/>
        <v>174</v>
      </c>
      <c r="U108" s="3">
        <f t="shared" si="39"/>
        <v>93</v>
      </c>
      <c r="V108" s="3" t="str">
        <f t="shared" si="34"/>
        <v>5D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40"/>
        <v/>
      </c>
      <c r="AB108" s="3" t="str">
        <f t="shared" si="41"/>
        <v/>
      </c>
      <c r="AC108" s="3" t="str">
        <f t="shared" si="42"/>
        <v/>
      </c>
      <c r="AD108" s="3" t="str">
        <f t="shared" si="43"/>
        <v>(0)</v>
      </c>
      <c r="AE108" s="3" t="str">
        <f t="shared" si="44"/>
        <v/>
      </c>
      <c r="AF108" s="3" t="str">
        <f t="shared" si="45"/>
        <v/>
      </c>
      <c r="AG108" s="3" t="str">
        <f t="shared" si="46"/>
        <v/>
      </c>
      <c r="AH108" s="3" t="str">
        <f t="shared" si="47"/>
        <v/>
      </c>
    </row>
    <row r="109" spans="2:34" x14ac:dyDescent="0.25">
      <c r="B109" s="3" t="s">
        <v>443</v>
      </c>
      <c r="C109" s="3" t="s">
        <v>459</v>
      </c>
      <c r="D109" s="3" t="s">
        <v>0</v>
      </c>
      <c r="E109" s="3" t="s">
        <v>251</v>
      </c>
      <c r="F109" s="3" t="s">
        <v>445</v>
      </c>
      <c r="G109" s="3" t="s">
        <v>446</v>
      </c>
      <c r="H109" s="3" t="s">
        <v>460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448</v>
      </c>
      <c r="O109" s="3" t="s">
        <v>461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376</v>
      </c>
      <c r="T109" s="3" t="str">
        <f t="shared" si="33"/>
        <v>178</v>
      </c>
      <c r="U109" s="3">
        <f t="shared" si="39"/>
        <v>94</v>
      </c>
      <c r="V109" s="3" t="str">
        <f t="shared" si="34"/>
        <v>5E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4" x14ac:dyDescent="0.25">
      <c r="B110" s="3" t="s">
        <v>443</v>
      </c>
      <c r="C110" s="3" t="s">
        <v>462</v>
      </c>
      <c r="D110" s="3" t="s">
        <v>0</v>
      </c>
      <c r="E110" s="3" t="s">
        <v>251</v>
      </c>
      <c r="F110" s="3" t="s">
        <v>445</v>
      </c>
      <c r="G110" s="3" t="s">
        <v>446</v>
      </c>
      <c r="H110" s="3" t="s">
        <v>463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448</v>
      </c>
      <c r="O110" s="3" t="s">
        <v>464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380</v>
      </c>
      <c r="T110" s="3" t="str">
        <f t="shared" si="33"/>
        <v>17C</v>
      </c>
      <c r="U110" s="3">
        <f t="shared" si="39"/>
        <v>95</v>
      </c>
      <c r="V110" s="3" t="str">
        <f t="shared" si="34"/>
        <v>5F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4" x14ac:dyDescent="0.25">
      <c r="B111" s="3" t="s">
        <v>443</v>
      </c>
      <c r="C111" s="3" t="s">
        <v>465</v>
      </c>
      <c r="D111" s="3" t="s">
        <v>0</v>
      </c>
      <c r="E111" s="3" t="s">
        <v>251</v>
      </c>
      <c r="F111" s="3" t="s">
        <v>445</v>
      </c>
      <c r="G111" s="3" t="s">
        <v>446</v>
      </c>
      <c r="H111" s="3" t="s">
        <v>466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448</v>
      </c>
      <c r="O111" s="3" t="s">
        <v>467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384</v>
      </c>
      <c r="T111" s="3" t="str">
        <f t="shared" si="33"/>
        <v>180</v>
      </c>
      <c r="U111" s="3">
        <f t="shared" si="39"/>
        <v>96</v>
      </c>
      <c r="V111" s="3" t="str">
        <f t="shared" si="34"/>
        <v>60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4" x14ac:dyDescent="0.25">
      <c r="B112" s="3" t="s">
        <v>443</v>
      </c>
      <c r="C112" s="3" t="s">
        <v>468</v>
      </c>
      <c r="D112" s="3" t="s">
        <v>0</v>
      </c>
      <c r="E112" s="3" t="s">
        <v>251</v>
      </c>
      <c r="F112" s="3" t="s">
        <v>445</v>
      </c>
      <c r="G112" s="3" t="s">
        <v>446</v>
      </c>
      <c r="H112" s="3" t="s">
        <v>469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448</v>
      </c>
      <c r="O112" s="3" t="s">
        <v>470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388</v>
      </c>
      <c r="T112" s="3" t="str">
        <f t="shared" si="33"/>
        <v>184</v>
      </c>
      <c r="U112" s="3">
        <f t="shared" si="39"/>
        <v>97</v>
      </c>
      <c r="V112" s="3" t="str">
        <f t="shared" si="34"/>
        <v>61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443</v>
      </c>
      <c r="C113" s="3" t="s">
        <v>471</v>
      </c>
      <c r="D113" s="3" t="s">
        <v>0</v>
      </c>
      <c r="E113" s="3" t="s">
        <v>251</v>
      </c>
      <c r="F113" s="3" t="s">
        <v>445</v>
      </c>
      <c r="G113" s="3" t="s">
        <v>446</v>
      </c>
      <c r="H113" s="3" t="s">
        <v>472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448</v>
      </c>
      <c r="O113" s="3" t="s">
        <v>473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392</v>
      </c>
      <c r="T113" s="3" t="str">
        <f t="shared" si="33"/>
        <v>188</v>
      </c>
      <c r="U113" s="3">
        <f t="shared" si="39"/>
        <v>98</v>
      </c>
      <c r="V113" s="3" t="str">
        <f t="shared" si="34"/>
        <v>62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/>
      </c>
      <c r="AD113" s="3" t="str">
        <f t="shared" si="43"/>
        <v>(0)</v>
      </c>
      <c r="AE113" s="3" t="str">
        <f t="shared" si="44"/>
        <v/>
      </c>
      <c r="AF113" s="3" t="str">
        <f t="shared" si="45"/>
        <v/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443</v>
      </c>
      <c r="C114" s="3" t="s">
        <v>474</v>
      </c>
      <c r="D114" s="3" t="s">
        <v>0</v>
      </c>
      <c r="E114" s="3" t="s">
        <v>251</v>
      </c>
      <c r="F114" s="3" t="s">
        <v>445</v>
      </c>
      <c r="G114" s="3" t="s">
        <v>446</v>
      </c>
      <c r="H114" s="3" t="s">
        <v>475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448</v>
      </c>
      <c r="O114" s="3" t="s">
        <v>476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/>
      </c>
      <c r="AD114" s="3" t="str">
        <f t="shared" si="43"/>
        <v>(0)</v>
      </c>
      <c r="AE114" s="3" t="str">
        <f t="shared" si="44"/>
        <v/>
      </c>
      <c r="AF114" s="3" t="str">
        <f t="shared" si="45"/>
        <v/>
      </c>
      <c r="AG114" s="3" t="str">
        <f t="shared" si="46"/>
        <v/>
      </c>
      <c r="AH114" s="3" t="str">
        <f t="shared" si="47"/>
        <v/>
      </c>
    </row>
    <row r="115" spans="2:34" x14ac:dyDescent="0.25">
      <c r="B115" s="3" t="s">
        <v>1192</v>
      </c>
      <c r="C115" s="3" t="s">
        <v>1193</v>
      </c>
      <c r="D115" s="3" t="s">
        <v>0</v>
      </c>
      <c r="E115" s="3" t="s">
        <v>251</v>
      </c>
      <c r="F115" s="3" t="s">
        <v>1012</v>
      </c>
      <c r="G115" s="3" t="s">
        <v>1015</v>
      </c>
      <c r="H115" s="3" t="s">
        <v>1195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997</v>
      </c>
      <c r="O115" s="3" t="s">
        <v>1198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400</v>
      </c>
      <c r="T115" s="3" t="str">
        <f t="shared" si="33"/>
        <v>190</v>
      </c>
      <c r="U115" s="3">
        <f t="shared" si="39"/>
        <v>100</v>
      </c>
      <c r="V115" s="3" t="str">
        <f t="shared" si="34"/>
        <v>64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/>
      </c>
      <c r="AD115" s="3" t="str">
        <f t="shared" si="43"/>
        <v>(0)</v>
      </c>
      <c r="AE115" s="3" t="str">
        <f t="shared" si="44"/>
        <v/>
      </c>
      <c r="AF115" s="3" t="str">
        <f t="shared" si="45"/>
        <v/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1192</v>
      </c>
      <c r="C116" s="3" t="s">
        <v>1194</v>
      </c>
      <c r="D116" s="3" t="s">
        <v>0</v>
      </c>
      <c r="E116" s="3" t="s">
        <v>251</v>
      </c>
      <c r="F116" s="3" t="s">
        <v>1012</v>
      </c>
      <c r="G116" s="3" t="s">
        <v>1015</v>
      </c>
      <c r="H116" s="3" t="s">
        <v>1196</v>
      </c>
      <c r="I116" s="3" t="s">
        <v>42</v>
      </c>
      <c r="J116" s="3">
        <v>16</v>
      </c>
      <c r="K116" s="3" t="s">
        <v>41</v>
      </c>
      <c r="L116" s="3" t="s">
        <v>41</v>
      </c>
      <c r="M116" s="3" t="s">
        <v>227</v>
      </c>
      <c r="N116" s="3" t="s">
        <v>997</v>
      </c>
      <c r="O116" s="3" t="s">
        <v>1197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404</v>
      </c>
      <c r="T116" s="3" t="str">
        <f t="shared" si="33"/>
        <v>194</v>
      </c>
      <c r="U116" s="3">
        <f t="shared" si="39"/>
        <v>101</v>
      </c>
      <c r="V116" s="3" t="str">
        <f t="shared" si="34"/>
        <v>65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1192</v>
      </c>
      <c r="C117" s="3" t="s">
        <v>999</v>
      </c>
      <c r="D117" s="3" t="s">
        <v>0</v>
      </c>
      <c r="E117" s="3" t="s">
        <v>251</v>
      </c>
      <c r="F117" s="3" t="s">
        <v>1012</v>
      </c>
      <c r="G117" s="3" t="s">
        <v>1015</v>
      </c>
      <c r="H117" s="3" t="s">
        <v>1023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997</v>
      </c>
      <c r="O117" s="3" t="s">
        <v>998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408</v>
      </c>
      <c r="T117" s="3" t="str">
        <f t="shared" si="33"/>
        <v>198</v>
      </c>
      <c r="U117" s="3">
        <f t="shared" si="39"/>
        <v>102</v>
      </c>
      <c r="V117" s="3" t="str">
        <f t="shared" si="34"/>
        <v>66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/>
      </c>
      <c r="AD117" s="3" t="str">
        <f t="shared" si="43"/>
        <v>(0)</v>
      </c>
      <c r="AE117" s="3" t="str">
        <f t="shared" si="44"/>
        <v/>
      </c>
      <c r="AF117" s="3" t="str">
        <f t="shared" si="45"/>
        <v/>
      </c>
      <c r="AG117" s="3" t="str">
        <f t="shared" si="46"/>
        <v/>
      </c>
      <c r="AH117" s="3" t="str">
        <f t="shared" si="47"/>
        <v/>
      </c>
    </row>
    <row r="118" spans="2:34" x14ac:dyDescent="0.25">
      <c r="B118" s="3" t="s">
        <v>1192</v>
      </c>
      <c r="C118" s="3" t="s">
        <v>1001</v>
      </c>
      <c r="D118" s="3" t="s">
        <v>0</v>
      </c>
      <c r="E118" s="3" t="s">
        <v>251</v>
      </c>
      <c r="F118" s="3" t="s">
        <v>1012</v>
      </c>
      <c r="G118" s="3" t="s">
        <v>1015</v>
      </c>
      <c r="H118" s="3" t="s">
        <v>1024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997</v>
      </c>
      <c r="O118" s="3" t="s">
        <v>1000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412</v>
      </c>
      <c r="T118" s="3" t="str">
        <f t="shared" si="33"/>
        <v>19C</v>
      </c>
      <c r="U118" s="3">
        <f t="shared" si="39"/>
        <v>103</v>
      </c>
      <c r="V118" s="3" t="str">
        <f t="shared" si="34"/>
        <v>67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/>
      </c>
      <c r="AD118" s="3" t="str">
        <f t="shared" si="43"/>
        <v>(0)</v>
      </c>
      <c r="AE118" s="3" t="str">
        <f t="shared" si="44"/>
        <v/>
      </c>
      <c r="AF118" s="3" t="str">
        <f t="shared" si="45"/>
        <v/>
      </c>
      <c r="AG118" s="3" t="str">
        <f t="shared" si="46"/>
        <v/>
      </c>
      <c r="AH118" s="3" t="str">
        <f t="shared" si="47"/>
        <v/>
      </c>
    </row>
    <row r="119" spans="2:34" x14ac:dyDescent="0.25">
      <c r="B119" s="3" t="s">
        <v>1192</v>
      </c>
      <c r="C119" s="3" t="s">
        <v>1003</v>
      </c>
      <c r="D119" s="3" t="s">
        <v>0</v>
      </c>
      <c r="E119" s="3" t="s">
        <v>251</v>
      </c>
      <c r="F119" s="3" t="s">
        <v>1012</v>
      </c>
      <c r="G119" s="3" t="s">
        <v>1015</v>
      </c>
      <c r="H119" s="3" t="s">
        <v>1025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997</v>
      </c>
      <c r="O119" s="3" t="s">
        <v>1002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416</v>
      </c>
      <c r="T119" s="3" t="str">
        <f t="shared" si="33"/>
        <v>1A0</v>
      </c>
      <c r="U119" s="3">
        <f t="shared" si="39"/>
        <v>104</v>
      </c>
      <c r="V119" s="3" t="str">
        <f t="shared" si="34"/>
        <v>68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/>
      </c>
      <c r="AD119" s="3" t="str">
        <f t="shared" si="43"/>
        <v>(0)</v>
      </c>
      <c r="AE119" s="3" t="str">
        <f t="shared" si="44"/>
        <v/>
      </c>
      <c r="AF119" s="3" t="str">
        <f t="shared" si="45"/>
        <v/>
      </c>
      <c r="AG119" s="3" t="str">
        <f t="shared" si="46"/>
        <v/>
      </c>
      <c r="AH119" s="3" t="str">
        <f t="shared" si="47"/>
        <v/>
      </c>
    </row>
    <row r="120" spans="2:34" x14ac:dyDescent="0.25">
      <c r="B120" s="3" t="s">
        <v>1192</v>
      </c>
      <c r="C120" s="3" t="s">
        <v>1005</v>
      </c>
      <c r="D120" s="3" t="s">
        <v>0</v>
      </c>
      <c r="E120" s="3" t="s">
        <v>251</v>
      </c>
      <c r="F120" s="3" t="s">
        <v>1012</v>
      </c>
      <c r="G120" s="3" t="s">
        <v>1015</v>
      </c>
      <c r="H120" s="3" t="s">
        <v>1026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997</v>
      </c>
      <c r="O120" s="3" t="s">
        <v>1004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420</v>
      </c>
      <c r="T120" s="3" t="str">
        <f t="shared" si="33"/>
        <v>1A4</v>
      </c>
      <c r="U120" s="3">
        <f t="shared" si="39"/>
        <v>105</v>
      </c>
      <c r="V120" s="3" t="str">
        <f t="shared" si="34"/>
        <v>69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3" t="s">
        <v>1192</v>
      </c>
      <c r="C121" s="3" t="s">
        <v>1007</v>
      </c>
      <c r="D121" s="3" t="s">
        <v>0</v>
      </c>
      <c r="E121" s="3" t="s">
        <v>251</v>
      </c>
      <c r="F121" s="3" t="s">
        <v>1012</v>
      </c>
      <c r="G121" s="3" t="s">
        <v>1015</v>
      </c>
      <c r="H121" s="3" t="s">
        <v>1027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997</v>
      </c>
      <c r="O121" s="3" t="s">
        <v>1006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424</v>
      </c>
      <c r="T121" s="3" t="str">
        <f t="shared" si="33"/>
        <v>1A8</v>
      </c>
      <c r="U121" s="3">
        <f t="shared" si="39"/>
        <v>106</v>
      </c>
      <c r="V121" s="3" t="str">
        <f t="shared" si="34"/>
        <v>6A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1192</v>
      </c>
      <c r="C122" s="3" t="s">
        <v>1009</v>
      </c>
      <c r="D122" s="3" t="s">
        <v>0</v>
      </c>
      <c r="E122" s="3" t="s">
        <v>251</v>
      </c>
      <c r="F122" s="3" t="s">
        <v>1012</v>
      </c>
      <c r="G122" s="3" t="s">
        <v>1015</v>
      </c>
      <c r="H122" s="3" t="s">
        <v>1028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997</v>
      </c>
      <c r="O122" s="3" t="s">
        <v>1008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428</v>
      </c>
      <c r="T122" s="3" t="str">
        <f t="shared" si="33"/>
        <v>1AC</v>
      </c>
      <c r="U122" s="3">
        <f t="shared" si="39"/>
        <v>107</v>
      </c>
      <c r="V122" s="3" t="str">
        <f t="shared" si="34"/>
        <v>6B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/>
      </c>
      <c r="AD122" s="3" t="str">
        <f t="shared" si="43"/>
        <v>(0)</v>
      </c>
      <c r="AE122" s="3" t="str">
        <f t="shared" si="44"/>
        <v/>
      </c>
      <c r="AF122" s="3" t="str">
        <f t="shared" si="45"/>
        <v/>
      </c>
      <c r="AG122" s="3" t="str">
        <f t="shared" si="46"/>
        <v/>
      </c>
      <c r="AH122" s="3" t="str">
        <f t="shared" si="47"/>
        <v/>
      </c>
    </row>
    <row r="123" spans="2:34" x14ac:dyDescent="0.25">
      <c r="B123" s="3" t="s">
        <v>363</v>
      </c>
      <c r="C123" s="3" t="s">
        <v>364</v>
      </c>
      <c r="D123" s="3" t="s">
        <v>0</v>
      </c>
      <c r="E123" s="3" t="s">
        <v>251</v>
      </c>
      <c r="F123" s="3" t="s">
        <v>365</v>
      </c>
      <c r="G123" s="3" t="s">
        <v>366</v>
      </c>
      <c r="H123" s="3" t="s">
        <v>367</v>
      </c>
      <c r="I123" s="3" t="s">
        <v>42</v>
      </c>
      <c r="J123" s="3">
        <v>1</v>
      </c>
      <c r="K123" s="3" t="s">
        <v>41</v>
      </c>
      <c r="L123" s="3" t="s">
        <v>41</v>
      </c>
      <c r="M123" s="3" t="s">
        <v>227</v>
      </c>
      <c r="N123" s="3" t="s">
        <v>368</v>
      </c>
      <c r="O123" s="3" t="s">
        <v>369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432</v>
      </c>
      <c r="T123" s="3" t="str">
        <f t="shared" si="33"/>
        <v>1B0</v>
      </c>
      <c r="U123" s="3">
        <f t="shared" si="39"/>
        <v>108</v>
      </c>
      <c r="V123" s="3" t="str">
        <f t="shared" si="34"/>
        <v>6C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363</v>
      </c>
      <c r="C124" s="3" t="s">
        <v>370</v>
      </c>
      <c r="D124" s="3" t="s">
        <v>0</v>
      </c>
      <c r="E124" s="3" t="s">
        <v>251</v>
      </c>
      <c r="F124" s="3" t="s">
        <v>365</v>
      </c>
      <c r="G124" s="3" t="s">
        <v>366</v>
      </c>
      <c r="H124" s="3" t="s">
        <v>371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368</v>
      </c>
      <c r="O124" s="3" t="s">
        <v>372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436</v>
      </c>
      <c r="T124" s="3" t="str">
        <f t="shared" si="33"/>
        <v>1B4</v>
      </c>
      <c r="U124" s="3">
        <f t="shared" si="39"/>
        <v>109</v>
      </c>
      <c r="V124" s="3" t="str">
        <f t="shared" si="34"/>
        <v>6D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/>
      </c>
      <c r="AD124" s="3" t="str">
        <f t="shared" si="43"/>
        <v>(0)</v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363</v>
      </c>
      <c r="C125" s="3" t="s">
        <v>373</v>
      </c>
      <c r="D125" s="3" t="s">
        <v>0</v>
      </c>
      <c r="E125" s="3" t="s">
        <v>251</v>
      </c>
      <c r="F125" s="3" t="s">
        <v>365</v>
      </c>
      <c r="G125" s="3" t="s">
        <v>366</v>
      </c>
      <c r="H125" s="3" t="s">
        <v>374</v>
      </c>
      <c r="I125" s="3" t="s">
        <v>42</v>
      </c>
      <c r="J125" s="3">
        <v>16</v>
      </c>
      <c r="K125" s="3" t="s">
        <v>41</v>
      </c>
      <c r="L125" s="3" t="s">
        <v>41</v>
      </c>
      <c r="M125" s="3" t="s">
        <v>227</v>
      </c>
      <c r="N125" s="3" t="s">
        <v>368</v>
      </c>
      <c r="O125" s="3" t="s">
        <v>375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$S124+$R124+INDEX(Tables!$N$5:$Q$8,MATCH(MOD($S124+$R124,4),Tables!$M$5:$M$8,0),MATCH($R125,Tables!$N$4:$Q$4,0))</f>
        <v>440</v>
      </c>
      <c r="T125" s="3" t="str">
        <f t="shared" si="33"/>
        <v>1B8</v>
      </c>
      <c r="U125" s="3">
        <f t="shared" si="39"/>
        <v>110</v>
      </c>
      <c r="V125" s="3" t="str">
        <f t="shared" si="34"/>
        <v>6E</v>
      </c>
      <c r="W125" s="3" t="str">
        <f t="shared" si="35"/>
        <v/>
      </c>
      <c r="X125" s="3" t="str">
        <f t="shared" si="36"/>
        <v/>
      </c>
      <c r="Y125" s="3" t="str">
        <f t="shared" si="37"/>
        <v>X</v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>(15 downto 8)</v>
      </c>
      <c r="AD125" s="3" t="str">
        <f t="shared" si="43"/>
        <v>(7 downto 0)</v>
      </c>
      <c r="AE125" s="3" t="str">
        <f t="shared" si="44"/>
        <v/>
      </c>
      <c r="AF125" s="3" t="str">
        <f t="shared" si="45"/>
        <v/>
      </c>
      <c r="AG125" s="3" t="str">
        <f t="shared" si="46"/>
        <v>(15 downto 8)</v>
      </c>
      <c r="AH125" s="3" t="str">
        <f t="shared" si="47"/>
        <v>(7 downto 0)</v>
      </c>
    </row>
    <row r="126" spans="2:34" x14ac:dyDescent="0.25">
      <c r="B126" s="3" t="s">
        <v>363</v>
      </c>
      <c r="C126" s="3" t="s">
        <v>376</v>
      </c>
      <c r="D126" s="3" t="s">
        <v>0</v>
      </c>
      <c r="E126" s="3" t="s">
        <v>251</v>
      </c>
      <c r="F126" s="3" t="s">
        <v>365</v>
      </c>
      <c r="G126" s="3" t="s">
        <v>366</v>
      </c>
      <c r="H126" s="3" t="s">
        <v>377</v>
      </c>
      <c r="I126" s="3" t="s">
        <v>42</v>
      </c>
      <c r="J126" s="3">
        <v>1</v>
      </c>
      <c r="K126" s="3" t="s">
        <v>41</v>
      </c>
      <c r="L126" s="3" t="s">
        <v>41</v>
      </c>
      <c r="M126" s="3" t="s">
        <v>227</v>
      </c>
      <c r="N126" s="3" t="s">
        <v>368</v>
      </c>
      <c r="O126" s="3" t="s">
        <v>378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444</v>
      </c>
      <c r="T126" s="3" t="str">
        <f t="shared" si="33"/>
        <v>1BC</v>
      </c>
      <c r="U126" s="3">
        <f t="shared" si="39"/>
        <v>111</v>
      </c>
      <c r="V126" s="3" t="str">
        <f t="shared" si="34"/>
        <v>6F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363</v>
      </c>
      <c r="C127" s="3" t="s">
        <v>379</v>
      </c>
      <c r="D127" s="3" t="s">
        <v>0</v>
      </c>
      <c r="E127" s="3" t="s">
        <v>251</v>
      </c>
      <c r="F127" s="3" t="s">
        <v>365</v>
      </c>
      <c r="G127" s="3" t="s">
        <v>366</v>
      </c>
      <c r="H127" s="3" t="s">
        <v>380</v>
      </c>
      <c r="I127" s="3" t="s">
        <v>42</v>
      </c>
      <c r="J127" s="3">
        <v>1</v>
      </c>
      <c r="K127" s="3" t="s">
        <v>41</v>
      </c>
      <c r="L127" s="3" t="s">
        <v>41</v>
      </c>
      <c r="M127" s="3" t="s">
        <v>227</v>
      </c>
      <c r="N127" s="3" t="s">
        <v>368</v>
      </c>
      <c r="O127" s="3" t="s">
        <v>381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448</v>
      </c>
      <c r="T127" s="3" t="str">
        <f t="shared" si="33"/>
        <v>1C0</v>
      </c>
      <c r="U127" s="3">
        <f t="shared" si="39"/>
        <v>112</v>
      </c>
      <c r="V127" s="3" t="str">
        <f t="shared" si="34"/>
        <v>70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40"/>
        <v/>
      </c>
      <c r="AB127" s="3" t="str">
        <f t="shared" si="41"/>
        <v/>
      </c>
      <c r="AC127" s="3" t="str">
        <f t="shared" si="42"/>
        <v/>
      </c>
      <c r="AD127" s="3" t="str">
        <f t="shared" si="43"/>
        <v>(0)</v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363</v>
      </c>
      <c r="C128" s="3" t="s">
        <v>382</v>
      </c>
      <c r="D128" s="3" t="s">
        <v>0</v>
      </c>
      <c r="E128" s="3" t="s">
        <v>251</v>
      </c>
      <c r="F128" s="3" t="s">
        <v>365</v>
      </c>
      <c r="G128" s="3" t="s">
        <v>366</v>
      </c>
      <c r="H128" s="3" t="s">
        <v>383</v>
      </c>
      <c r="I128" s="3" t="s">
        <v>42</v>
      </c>
      <c r="J128" s="3">
        <v>1</v>
      </c>
      <c r="K128" s="3" t="s">
        <v>41</v>
      </c>
      <c r="L128" s="3" t="s">
        <v>41</v>
      </c>
      <c r="M128" s="3" t="s">
        <v>227</v>
      </c>
      <c r="N128" s="3" t="s">
        <v>368</v>
      </c>
      <c r="O128" s="3" t="s">
        <v>384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452</v>
      </c>
      <c r="T128" s="3" t="str">
        <f t="shared" si="33"/>
        <v>1C4</v>
      </c>
      <c r="U128" s="3">
        <f t="shared" si="39"/>
        <v>113</v>
      </c>
      <c r="V128" s="3" t="str">
        <f t="shared" si="34"/>
        <v>71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/>
      </c>
      <c r="AD128" s="3" t="str">
        <f t="shared" si="43"/>
        <v>(0)</v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363</v>
      </c>
      <c r="C129" s="3" t="s">
        <v>385</v>
      </c>
      <c r="D129" s="3" t="s">
        <v>0</v>
      </c>
      <c r="E129" s="3" t="s">
        <v>251</v>
      </c>
      <c r="F129" s="3" t="s">
        <v>365</v>
      </c>
      <c r="G129" s="3" t="s">
        <v>366</v>
      </c>
      <c r="H129" s="3" t="s">
        <v>386</v>
      </c>
      <c r="I129" s="3" t="s">
        <v>42</v>
      </c>
      <c r="J129" s="3">
        <v>16</v>
      </c>
      <c r="K129" s="3" t="s">
        <v>41</v>
      </c>
      <c r="L129" s="3" t="s">
        <v>41</v>
      </c>
      <c r="M129" s="3" t="s">
        <v>227</v>
      </c>
      <c r="N129" s="3" t="s">
        <v>368</v>
      </c>
      <c r="O129" s="3" t="s">
        <v>387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$S128+$R128+INDEX(Tables!$N$5:$Q$8,MATCH(MOD($S128+$R128,4),Tables!$M$5:$M$8,0),MATCH($R129,Tables!$N$4:$Q$4,0))</f>
        <v>456</v>
      </c>
      <c r="T129" s="3" t="str">
        <f t="shared" si="33"/>
        <v>1C8</v>
      </c>
      <c r="U129" s="3">
        <f t="shared" si="39"/>
        <v>114</v>
      </c>
      <c r="V129" s="3" t="str">
        <f t="shared" si="34"/>
        <v>72</v>
      </c>
      <c r="W129" s="3" t="str">
        <f t="shared" si="35"/>
        <v/>
      </c>
      <c r="X129" s="3" t="str">
        <f t="shared" si="36"/>
        <v/>
      </c>
      <c r="Y129" s="3" t="str">
        <f t="shared" si="37"/>
        <v>X</v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>(15 downto 8)</v>
      </c>
      <c r="AD129" s="3" t="str">
        <f t="shared" si="43"/>
        <v>(7 downto 0)</v>
      </c>
      <c r="AE129" s="3" t="str">
        <f t="shared" si="44"/>
        <v/>
      </c>
      <c r="AF129" s="3" t="str">
        <f t="shared" si="45"/>
        <v/>
      </c>
      <c r="AG129" s="3" t="str">
        <f t="shared" si="46"/>
        <v>(15 downto 8)</v>
      </c>
      <c r="AH129" s="3" t="str">
        <f t="shared" si="47"/>
        <v>(7 downto 0)</v>
      </c>
    </row>
    <row r="130" spans="2:34" x14ac:dyDescent="0.25">
      <c r="B130" s="3" t="s">
        <v>363</v>
      </c>
      <c r="C130" s="3" t="s">
        <v>388</v>
      </c>
      <c r="D130" s="3" t="s">
        <v>0</v>
      </c>
      <c r="E130" s="3" t="s">
        <v>251</v>
      </c>
      <c r="F130" s="3" t="s">
        <v>365</v>
      </c>
      <c r="G130" s="3" t="s">
        <v>366</v>
      </c>
      <c r="H130" s="3" t="s">
        <v>389</v>
      </c>
      <c r="I130" s="3" t="s">
        <v>42</v>
      </c>
      <c r="J130" s="3">
        <v>1</v>
      </c>
      <c r="K130" s="3" t="s">
        <v>41</v>
      </c>
      <c r="L130" s="3" t="s">
        <v>41</v>
      </c>
      <c r="M130" s="3" t="s">
        <v>227</v>
      </c>
      <c r="N130" s="3" t="s">
        <v>368</v>
      </c>
      <c r="O130" s="3" t="s">
        <v>390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460</v>
      </c>
      <c r="T130" s="3" t="str">
        <f t="shared" si="33"/>
        <v>1CC</v>
      </c>
      <c r="U130" s="3">
        <f t="shared" si="39"/>
        <v>115</v>
      </c>
      <c r="V130" s="3" t="str">
        <f t="shared" si="34"/>
        <v>73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/>
      </c>
      <c r="AD130" s="3" t="str">
        <f t="shared" si="43"/>
        <v>(0)</v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363</v>
      </c>
      <c r="C131" s="3" t="s">
        <v>391</v>
      </c>
      <c r="D131" s="3" t="s">
        <v>0</v>
      </c>
      <c r="E131" s="3" t="s">
        <v>251</v>
      </c>
      <c r="F131" s="3" t="s">
        <v>365</v>
      </c>
      <c r="G131" s="3" t="s">
        <v>366</v>
      </c>
      <c r="H131" s="3" t="s">
        <v>392</v>
      </c>
      <c r="I131" s="3" t="s">
        <v>42</v>
      </c>
      <c r="J131" s="3">
        <v>1</v>
      </c>
      <c r="K131" s="3" t="s">
        <v>41</v>
      </c>
      <c r="L131" s="3" t="s">
        <v>41</v>
      </c>
      <c r="M131" s="3" t="s">
        <v>227</v>
      </c>
      <c r="N131" s="3" t="s">
        <v>368</v>
      </c>
      <c r="O131" s="3" t="s">
        <v>393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464</v>
      </c>
      <c r="T131" s="3" t="str">
        <f t="shared" si="33"/>
        <v>1D0</v>
      </c>
      <c r="U131" s="3">
        <f t="shared" si="39"/>
        <v>116</v>
      </c>
      <c r="V131" s="3" t="str">
        <f t="shared" si="34"/>
        <v>74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363</v>
      </c>
      <c r="C132" s="3" t="s">
        <v>394</v>
      </c>
      <c r="D132" s="3" t="s">
        <v>0</v>
      </c>
      <c r="E132" s="3" t="s">
        <v>251</v>
      </c>
      <c r="F132" s="3" t="s">
        <v>365</v>
      </c>
      <c r="G132" s="3" t="s">
        <v>366</v>
      </c>
      <c r="H132" s="3" t="s">
        <v>395</v>
      </c>
      <c r="I132" s="3" t="s">
        <v>42</v>
      </c>
      <c r="J132" s="3">
        <v>1</v>
      </c>
      <c r="K132" s="3" t="s">
        <v>41</v>
      </c>
      <c r="L132" s="3" t="s">
        <v>41</v>
      </c>
      <c r="M132" s="3" t="s">
        <v>227</v>
      </c>
      <c r="N132" s="3" t="s">
        <v>368</v>
      </c>
      <c r="O132" s="3" t="s">
        <v>396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468</v>
      </c>
      <c r="T132" s="3" t="str">
        <f t="shared" ref="T132:T146" si="48">DEC2HEX($S132,3)</f>
        <v>1D4</v>
      </c>
      <c r="U132" s="3">
        <f t="shared" si="39"/>
        <v>117</v>
      </c>
      <c r="V132" s="3" t="str">
        <f t="shared" ref="V132:V146" si="49">DEC2HEX($U132,2)</f>
        <v>75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/>
      </c>
      <c r="AD132" s="3" t="str">
        <f t="shared" si="43"/>
        <v>(0)</v>
      </c>
      <c r="AE132" s="3" t="str">
        <f t="shared" si="44"/>
        <v/>
      </c>
      <c r="AF132" s="3" t="str">
        <f t="shared" si="45"/>
        <v/>
      </c>
      <c r="AG132" s="3" t="str">
        <f t="shared" si="46"/>
        <v/>
      </c>
      <c r="AH132" s="3" t="str">
        <f t="shared" si="47"/>
        <v/>
      </c>
    </row>
    <row r="133" spans="2:34" x14ac:dyDescent="0.25">
      <c r="B133" s="3" t="s">
        <v>363</v>
      </c>
      <c r="C133" s="3" t="s">
        <v>397</v>
      </c>
      <c r="D133" s="3" t="s">
        <v>0</v>
      </c>
      <c r="E133" s="3" t="s">
        <v>251</v>
      </c>
      <c r="F133" s="3" t="s">
        <v>365</v>
      </c>
      <c r="G133" s="3" t="s">
        <v>366</v>
      </c>
      <c r="H133" s="3" t="s">
        <v>398</v>
      </c>
      <c r="I133" s="3" t="s">
        <v>42</v>
      </c>
      <c r="J133" s="3">
        <v>16</v>
      </c>
      <c r="K133" s="3" t="s">
        <v>41</v>
      </c>
      <c r="L133" s="3" t="s">
        <v>41</v>
      </c>
      <c r="M133" s="3" t="s">
        <v>227</v>
      </c>
      <c r="N133" s="3" t="s">
        <v>368</v>
      </c>
      <c r="O133" s="3" t="s">
        <v>399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$S132+$R132+INDEX(Tables!$N$5:$Q$8,MATCH(MOD($S132+$R132,4),Tables!$M$5:$M$8,0),MATCH($R133,Tables!$N$4:$Q$4,0))</f>
        <v>472</v>
      </c>
      <c r="T133" s="3" t="str">
        <f t="shared" si="48"/>
        <v>1D8</v>
      </c>
      <c r="U133" s="3">
        <f t="shared" si="39"/>
        <v>118</v>
      </c>
      <c r="V133" s="3" t="str">
        <f t="shared" si="49"/>
        <v>76</v>
      </c>
      <c r="W133" s="3" t="str">
        <f t="shared" ref="W133:W146" si="50">IF(MOD($S133,4)=3,"X",IF(AND(MOD($S133,4)=2,$J133&gt;8),"X",IF(AND(MOD($S133,4)=1,$J133&gt;16),"X",IF(AND(MOD($S133,4)=0,$J133&gt;24),"X",""))))</f>
        <v/>
      </c>
      <c r="X133" s="3" t="str">
        <f t="shared" ref="X133:X146" si="51">IF(MOD($S133,4)=2,"X",IF(AND(MOD($S133,4)=1,$J133&gt;8),"X",IF(AND(MOD($S133,4)=0,$J133&gt;16),"X","")))</f>
        <v/>
      </c>
      <c r="Y133" s="3" t="str">
        <f t="shared" ref="Y133:Y146" si="52">IF(MOD($S133,4)=1,"X",IF(AND(MOD($S133,4)=0,$J133&gt;8),"X",""))</f>
        <v>X</v>
      </c>
      <c r="Z133" s="3" t="str">
        <f t="shared" ref="Z133:Z146" si="53">IF(MOD($S133,4)=0,"X","")</f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>(15 downto 8)</v>
      </c>
      <c r="AD133" s="3" t="str">
        <f t="shared" si="43"/>
        <v>(7 downto 0)</v>
      </c>
      <c r="AE133" s="3" t="str">
        <f t="shared" si="44"/>
        <v/>
      </c>
      <c r="AF133" s="3" t="str">
        <f t="shared" si="45"/>
        <v/>
      </c>
      <c r="AG133" s="3" t="str">
        <f t="shared" si="46"/>
        <v>(15 downto 8)</v>
      </c>
      <c r="AH133" s="3" t="str">
        <f t="shared" si="47"/>
        <v>(7 downto 0)</v>
      </c>
    </row>
    <row r="134" spans="2:34" x14ac:dyDescent="0.25">
      <c r="B134" s="3" t="s">
        <v>363</v>
      </c>
      <c r="C134" s="3" t="s">
        <v>400</v>
      </c>
      <c r="D134" s="3" t="s">
        <v>0</v>
      </c>
      <c r="E134" s="3" t="s">
        <v>251</v>
      </c>
      <c r="F134" s="3" t="s">
        <v>365</v>
      </c>
      <c r="G134" s="3" t="s">
        <v>366</v>
      </c>
      <c r="H134" s="3" t="s">
        <v>401</v>
      </c>
      <c r="I134" s="3" t="s">
        <v>42</v>
      </c>
      <c r="J134" s="3">
        <v>1</v>
      </c>
      <c r="K134" s="3" t="s">
        <v>41</v>
      </c>
      <c r="L134" s="3" t="s">
        <v>41</v>
      </c>
      <c r="M134" s="3" t="s">
        <v>227</v>
      </c>
      <c r="N134" s="3" t="s">
        <v>368</v>
      </c>
      <c r="O134" s="3" t="s">
        <v>402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476</v>
      </c>
      <c r="T134" s="3" t="str">
        <f t="shared" si="48"/>
        <v>1DC</v>
      </c>
      <c r="U134" s="3">
        <f t="shared" si="39"/>
        <v>119</v>
      </c>
      <c r="V134" s="3" t="str">
        <f t="shared" si="49"/>
        <v>77</v>
      </c>
      <c r="W134" s="3" t="str">
        <f t="shared" si="50"/>
        <v/>
      </c>
      <c r="X134" s="3" t="str">
        <f t="shared" si="51"/>
        <v/>
      </c>
      <c r="Y134" s="3" t="str">
        <f t="shared" si="52"/>
        <v/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/>
      </c>
      <c r="AD134" s="3" t="str">
        <f t="shared" si="43"/>
        <v>(0)</v>
      </c>
      <c r="AE134" s="3" t="str">
        <f t="shared" si="44"/>
        <v/>
      </c>
      <c r="AF134" s="3" t="str">
        <f t="shared" si="45"/>
        <v/>
      </c>
      <c r="AG134" s="3" t="str">
        <f t="shared" si="46"/>
        <v/>
      </c>
      <c r="AH134" s="3" t="str">
        <f t="shared" si="47"/>
        <v/>
      </c>
    </row>
    <row r="135" spans="2:34" x14ac:dyDescent="0.25">
      <c r="B135" s="3" t="s">
        <v>403</v>
      </c>
      <c r="C135" s="3" t="s">
        <v>404</v>
      </c>
      <c r="D135" s="3" t="s">
        <v>0</v>
      </c>
      <c r="E135" s="3" t="s">
        <v>251</v>
      </c>
      <c r="F135" s="3" t="s">
        <v>405</v>
      </c>
      <c r="G135" s="3" t="s">
        <v>406</v>
      </c>
      <c r="H135" s="3" t="s">
        <v>407</v>
      </c>
      <c r="I135" s="3" t="s">
        <v>42</v>
      </c>
      <c r="J135" s="3">
        <v>1</v>
      </c>
      <c r="K135" s="3" t="s">
        <v>41</v>
      </c>
      <c r="L135" s="3" t="s">
        <v>41</v>
      </c>
      <c r="M135" s="3" t="s">
        <v>227</v>
      </c>
      <c r="N135" s="3" t="s">
        <v>408</v>
      </c>
      <c r="O135" s="3" t="s">
        <v>409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$S134+$R134+INDEX(Tables!$N$5:$Q$8,MATCH(MOD($S134+$R134,4),Tables!$M$5:$M$8,0),MATCH($R135,Tables!$N$4:$Q$4,0))</f>
        <v>480</v>
      </c>
      <c r="T135" s="3" t="str">
        <f t="shared" si="48"/>
        <v>1E0</v>
      </c>
      <c r="U135" s="3">
        <f t="shared" si="39"/>
        <v>120</v>
      </c>
      <c r="V135" s="3" t="str">
        <f t="shared" si="49"/>
        <v>78</v>
      </c>
      <c r="W135" s="3" t="str">
        <f t="shared" si="50"/>
        <v/>
      </c>
      <c r="X135" s="3" t="str">
        <f t="shared" si="51"/>
        <v/>
      </c>
      <c r="Y135" s="3" t="str">
        <f t="shared" si="52"/>
        <v/>
      </c>
      <c r="Z135" s="3" t="str">
        <f t="shared" si="53"/>
        <v>X</v>
      </c>
      <c r="AA135" s="3" t="str">
        <f t="shared" si="40"/>
        <v/>
      </c>
      <c r="AB135" s="3" t="str">
        <f t="shared" si="41"/>
        <v/>
      </c>
      <c r="AC135" s="3" t="str">
        <f t="shared" si="42"/>
        <v/>
      </c>
      <c r="AD135" s="3" t="str">
        <f t="shared" si="43"/>
        <v>(0)</v>
      </c>
      <c r="AE135" s="3" t="str">
        <f t="shared" si="44"/>
        <v/>
      </c>
      <c r="AF135" s="3" t="str">
        <f t="shared" si="45"/>
        <v/>
      </c>
      <c r="AG135" s="3" t="str">
        <f t="shared" si="46"/>
        <v/>
      </c>
      <c r="AH135" s="3" t="str">
        <f t="shared" si="47"/>
        <v/>
      </c>
    </row>
    <row r="136" spans="2:34" x14ac:dyDescent="0.25">
      <c r="B136" s="3" t="s">
        <v>403</v>
      </c>
      <c r="C136" s="3" t="s">
        <v>410</v>
      </c>
      <c r="D136" s="3" t="s">
        <v>0</v>
      </c>
      <c r="E136" s="3" t="s">
        <v>251</v>
      </c>
      <c r="F136" s="3" t="s">
        <v>405</v>
      </c>
      <c r="G136" s="3" t="s">
        <v>406</v>
      </c>
      <c r="H136" s="3" t="s">
        <v>411</v>
      </c>
      <c r="I136" s="3" t="s">
        <v>42</v>
      </c>
      <c r="J136" s="3">
        <v>1</v>
      </c>
      <c r="K136" s="3" t="s">
        <v>41</v>
      </c>
      <c r="L136" s="3" t="s">
        <v>41</v>
      </c>
      <c r="M136" s="3" t="s">
        <v>227</v>
      </c>
      <c r="N136" s="3" t="s">
        <v>408</v>
      </c>
      <c r="O136" s="3" t="s">
        <v>412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484</v>
      </c>
      <c r="T136" s="3" t="str">
        <f t="shared" si="48"/>
        <v>1E4</v>
      </c>
      <c r="U136" s="3">
        <f t="shared" ref="U136:U146" si="54">ROUNDDOWN(S136/4,0)</f>
        <v>121</v>
      </c>
      <c r="V136" s="3" t="str">
        <f t="shared" si="49"/>
        <v>79</v>
      </c>
      <c r="W136" s="3" t="str">
        <f t="shared" si="50"/>
        <v/>
      </c>
      <c r="X136" s="3" t="str">
        <f t="shared" si="51"/>
        <v/>
      </c>
      <c r="Y136" s="3" t="str">
        <f t="shared" si="52"/>
        <v/>
      </c>
      <c r="Z136" s="3" t="str">
        <f t="shared" si="53"/>
        <v>X</v>
      </c>
      <c r="AA136" s="3" t="str">
        <f t="shared" ref="AA136:AA146" si="55">IF(W136="","",CONCATENATE("(",IF(($J136-COUNTIF($X136:$Z136,"X")*8)=1,"24)",CONCATENATE(IF(($J136-COUNTIF($X136:$Z136,"X")*8)&gt;=8,32,($J136-COUNTIF($X136:$Z136,"X")*8)+24)-1," downto 24)"))))</f>
        <v/>
      </c>
      <c r="AB136" s="3" t="str">
        <f t="shared" ref="AB136:AB146" si="56">IF(X136="","",CONCATENATE("(",IF(($J136-COUNTIF($Y136:$Z136,"X")*8)=1,"16)",CONCATENATE(IF(($J136-COUNTIF($Y136:$Z136,"X")*8)&gt;=8,24,($J136-COUNTIF($Y136:$Z136,"X")*8)+16)-1," downto 16)"))))</f>
        <v/>
      </c>
      <c r="AC136" s="3" t="str">
        <f t="shared" ref="AC136:AC146" si="57">IF(Y136="","",CONCATENATE("(",IF(($J136-COUNTIF($Z136,"X")*8)=1,"8)",CONCATENATE(IF(($J136-COUNTIF($Z136,"X")*8)&gt;=8,16,($J136-COUNTIF($Z136,"X")*8)+8)-1," downto 8)"))))</f>
        <v/>
      </c>
      <c r="AD136" s="3" t="str">
        <f t="shared" ref="AD136:AD146" si="58">IF(Z136="","",CONCATENATE("(",IF($J136=1,"0)",CONCATENATE(IF($J136&gt;=8,8,$J136)-1," downto 0)"))))</f>
        <v>(0)</v>
      </c>
      <c r="AE136" s="3" t="str">
        <f t="shared" ref="AE136:AE146" si="59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3" t="str">
        <f t="shared" ref="AF136:AF146" si="60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3" t="str">
        <f t="shared" ref="AG136:AG146" si="61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3" t="str">
        <f t="shared" ref="AH136:AH146" si="62">IF(Z136="","",IF($J136&lt;=8,"",CONCATENATE("(",IF($J136&gt;=8,7,$J136-1)," downto ",0,")")))</f>
        <v/>
      </c>
    </row>
    <row r="137" spans="2:34" x14ac:dyDescent="0.25">
      <c r="B137" s="3" t="s">
        <v>403</v>
      </c>
      <c r="C137" s="3" t="s">
        <v>413</v>
      </c>
      <c r="D137" s="3" t="s">
        <v>0</v>
      </c>
      <c r="E137" s="3" t="s">
        <v>251</v>
      </c>
      <c r="F137" s="3" t="s">
        <v>405</v>
      </c>
      <c r="G137" s="3" t="s">
        <v>406</v>
      </c>
      <c r="H137" s="3" t="s">
        <v>414</v>
      </c>
      <c r="I137" s="3" t="s">
        <v>42</v>
      </c>
      <c r="J137" s="3">
        <v>16</v>
      </c>
      <c r="K137" s="3" t="s">
        <v>41</v>
      </c>
      <c r="L137" s="3" t="s">
        <v>41</v>
      </c>
      <c r="M137" s="3" t="s">
        <v>227</v>
      </c>
      <c r="N137" s="3" t="s">
        <v>408</v>
      </c>
      <c r="O137" s="3" t="s">
        <v>415</v>
      </c>
      <c r="P137" s="3" t="s">
        <v>50</v>
      </c>
      <c r="Q137" s="3">
        <f>INDEX(Tables!$C$4:$C$28,MATCH($P137,Tables!$B$4:$B$28,0))</f>
        <v>16</v>
      </c>
      <c r="R137" s="3">
        <f>INDEX(Tables!$D$4:$D$28,MATCH($P137,Tables!$B$4:$B$28,0))</f>
        <v>2</v>
      </c>
      <c r="S137" s="3">
        <f>$S136+$R136+INDEX(Tables!$N$5:$Q$8,MATCH(MOD($S136+$R136,4),Tables!$M$5:$M$8,0),MATCH($R137,Tables!$N$4:$Q$4,0))</f>
        <v>488</v>
      </c>
      <c r="T137" s="3" t="str">
        <f t="shared" si="48"/>
        <v>1E8</v>
      </c>
      <c r="U137" s="3">
        <f t="shared" si="54"/>
        <v>122</v>
      </c>
      <c r="V137" s="3" t="str">
        <f t="shared" si="49"/>
        <v>7A</v>
      </c>
      <c r="W137" s="3" t="str">
        <f t="shared" si="50"/>
        <v/>
      </c>
      <c r="X137" s="3" t="str">
        <f t="shared" si="51"/>
        <v/>
      </c>
      <c r="Y137" s="3" t="str">
        <f t="shared" si="52"/>
        <v>X</v>
      </c>
      <c r="Z137" s="3" t="str">
        <f t="shared" si="53"/>
        <v>X</v>
      </c>
      <c r="AA137" s="3" t="str">
        <f t="shared" si="55"/>
        <v/>
      </c>
      <c r="AB137" s="3" t="str">
        <f t="shared" si="56"/>
        <v/>
      </c>
      <c r="AC137" s="3" t="str">
        <f t="shared" si="57"/>
        <v>(15 downto 8)</v>
      </c>
      <c r="AD137" s="3" t="str">
        <f t="shared" si="58"/>
        <v>(7 downto 0)</v>
      </c>
      <c r="AE137" s="3" t="str">
        <f t="shared" si="59"/>
        <v/>
      </c>
      <c r="AF137" s="3" t="str">
        <f t="shared" si="60"/>
        <v/>
      </c>
      <c r="AG137" s="3" t="str">
        <f t="shared" si="61"/>
        <v>(15 downto 8)</v>
      </c>
      <c r="AH137" s="3" t="str">
        <f t="shared" si="62"/>
        <v>(7 downto 0)</v>
      </c>
    </row>
    <row r="138" spans="2:34" x14ac:dyDescent="0.25">
      <c r="B138" s="3" t="s">
        <v>403</v>
      </c>
      <c r="C138" s="3" t="s">
        <v>416</v>
      </c>
      <c r="D138" s="3" t="s">
        <v>0</v>
      </c>
      <c r="E138" s="3" t="s">
        <v>251</v>
      </c>
      <c r="F138" s="3" t="s">
        <v>405</v>
      </c>
      <c r="G138" s="3" t="s">
        <v>406</v>
      </c>
      <c r="H138" s="3" t="s">
        <v>417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227</v>
      </c>
      <c r="N138" s="3" t="s">
        <v>408</v>
      </c>
      <c r="O138" s="3" t="s">
        <v>418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492</v>
      </c>
      <c r="T138" s="3" t="str">
        <f t="shared" si="48"/>
        <v>1EC</v>
      </c>
      <c r="U138" s="3">
        <f t="shared" si="54"/>
        <v>123</v>
      </c>
      <c r="V138" s="3" t="str">
        <f t="shared" si="49"/>
        <v>7B</v>
      </c>
      <c r="W138" s="3" t="str">
        <f t="shared" si="50"/>
        <v/>
      </c>
      <c r="X138" s="3" t="str">
        <f t="shared" si="51"/>
        <v/>
      </c>
      <c r="Y138" s="3" t="str">
        <f t="shared" si="52"/>
        <v/>
      </c>
      <c r="Z138" s="3" t="str">
        <f t="shared" si="53"/>
        <v>X</v>
      </c>
      <c r="AA138" s="3" t="str">
        <f t="shared" si="55"/>
        <v/>
      </c>
      <c r="AB138" s="3" t="str">
        <f t="shared" si="56"/>
        <v/>
      </c>
      <c r="AC138" s="3" t="str">
        <f t="shared" si="57"/>
        <v/>
      </c>
      <c r="AD138" s="3" t="str">
        <f t="shared" si="58"/>
        <v>(0)</v>
      </c>
      <c r="AE138" s="3" t="str">
        <f t="shared" si="59"/>
        <v/>
      </c>
      <c r="AF138" s="3" t="str">
        <f t="shared" si="60"/>
        <v/>
      </c>
      <c r="AG138" s="3" t="str">
        <f t="shared" si="61"/>
        <v/>
      </c>
      <c r="AH138" s="3" t="str">
        <f t="shared" si="62"/>
        <v/>
      </c>
    </row>
    <row r="139" spans="2:34" x14ac:dyDescent="0.25">
      <c r="B139" s="3" t="s">
        <v>403</v>
      </c>
      <c r="C139" s="3" t="s">
        <v>419</v>
      </c>
      <c r="D139" s="3" t="s">
        <v>0</v>
      </c>
      <c r="E139" s="3" t="s">
        <v>251</v>
      </c>
      <c r="F139" s="3" t="s">
        <v>405</v>
      </c>
      <c r="G139" s="3" t="s">
        <v>406</v>
      </c>
      <c r="H139" s="3" t="s">
        <v>420</v>
      </c>
      <c r="I139" s="3" t="s">
        <v>42</v>
      </c>
      <c r="J139" s="3">
        <v>1</v>
      </c>
      <c r="K139" s="3" t="s">
        <v>41</v>
      </c>
      <c r="L139" s="3" t="s">
        <v>41</v>
      </c>
      <c r="M139" s="3" t="s">
        <v>227</v>
      </c>
      <c r="N139" s="3" t="s">
        <v>408</v>
      </c>
      <c r="O139" s="3" t="s">
        <v>421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$S138+$R138+INDEX(Tables!$N$5:$Q$8,MATCH(MOD($S138+$R138,4),Tables!$M$5:$M$8,0),MATCH($R139,Tables!$N$4:$Q$4,0))</f>
        <v>496</v>
      </c>
      <c r="T139" s="3" t="str">
        <f t="shared" si="48"/>
        <v>1F0</v>
      </c>
      <c r="U139" s="3">
        <f t="shared" si="54"/>
        <v>124</v>
      </c>
      <c r="V139" s="3" t="str">
        <f t="shared" si="49"/>
        <v>7C</v>
      </c>
      <c r="W139" s="3" t="str">
        <f t="shared" si="50"/>
        <v/>
      </c>
      <c r="X139" s="3" t="str">
        <f t="shared" si="51"/>
        <v/>
      </c>
      <c r="Y139" s="3" t="str">
        <f t="shared" si="52"/>
        <v/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/>
      </c>
      <c r="AD139" s="3" t="str">
        <f t="shared" si="58"/>
        <v>(0)</v>
      </c>
      <c r="AE139" s="3" t="str">
        <f t="shared" si="59"/>
        <v/>
      </c>
      <c r="AF139" s="3" t="str">
        <f t="shared" si="60"/>
        <v/>
      </c>
      <c r="AG139" s="3" t="str">
        <f t="shared" si="61"/>
        <v/>
      </c>
      <c r="AH139" s="3" t="str">
        <f t="shared" si="62"/>
        <v/>
      </c>
    </row>
    <row r="140" spans="2:34" x14ac:dyDescent="0.25">
      <c r="B140" s="3" t="s">
        <v>403</v>
      </c>
      <c r="C140" s="3" t="s">
        <v>422</v>
      </c>
      <c r="D140" s="3" t="s">
        <v>0</v>
      </c>
      <c r="E140" s="3" t="s">
        <v>251</v>
      </c>
      <c r="F140" s="3" t="s">
        <v>405</v>
      </c>
      <c r="G140" s="3" t="s">
        <v>406</v>
      </c>
      <c r="H140" s="3" t="s">
        <v>423</v>
      </c>
      <c r="I140" s="3" t="s">
        <v>42</v>
      </c>
      <c r="J140" s="3">
        <v>1</v>
      </c>
      <c r="K140" s="3" t="s">
        <v>41</v>
      </c>
      <c r="L140" s="3" t="s">
        <v>41</v>
      </c>
      <c r="M140" s="3" t="s">
        <v>227</v>
      </c>
      <c r="N140" s="3" t="s">
        <v>408</v>
      </c>
      <c r="O140" s="3" t="s">
        <v>424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500</v>
      </c>
      <c r="T140" s="3" t="str">
        <f t="shared" si="48"/>
        <v>1F4</v>
      </c>
      <c r="U140" s="3">
        <f t="shared" si="54"/>
        <v>125</v>
      </c>
      <c r="V140" s="3" t="str">
        <f t="shared" si="49"/>
        <v>7D</v>
      </c>
      <c r="W140" s="3" t="str">
        <f t="shared" si="50"/>
        <v/>
      </c>
      <c r="X140" s="3" t="str">
        <f t="shared" si="51"/>
        <v/>
      </c>
      <c r="Y140" s="3" t="str">
        <f t="shared" si="52"/>
        <v/>
      </c>
      <c r="Z140" s="3" t="str">
        <f t="shared" si="53"/>
        <v>X</v>
      </c>
      <c r="AA140" s="3" t="str">
        <f t="shared" si="55"/>
        <v/>
      </c>
      <c r="AB140" s="3" t="str">
        <f t="shared" si="56"/>
        <v/>
      </c>
      <c r="AC140" s="3" t="str">
        <f t="shared" si="57"/>
        <v/>
      </c>
      <c r="AD140" s="3" t="str">
        <f t="shared" si="58"/>
        <v>(0)</v>
      </c>
      <c r="AE140" s="3" t="str">
        <f t="shared" si="59"/>
        <v/>
      </c>
      <c r="AF140" s="3" t="str">
        <f t="shared" si="60"/>
        <v/>
      </c>
      <c r="AG140" s="3" t="str">
        <f t="shared" si="61"/>
        <v/>
      </c>
      <c r="AH140" s="3" t="str">
        <f t="shared" si="62"/>
        <v/>
      </c>
    </row>
    <row r="141" spans="2:34" x14ac:dyDescent="0.25">
      <c r="B141" s="3" t="s">
        <v>403</v>
      </c>
      <c r="C141" s="3" t="s">
        <v>425</v>
      </c>
      <c r="D141" s="3" t="s">
        <v>0</v>
      </c>
      <c r="E141" s="3" t="s">
        <v>251</v>
      </c>
      <c r="F141" s="3" t="s">
        <v>405</v>
      </c>
      <c r="G141" s="3" t="s">
        <v>406</v>
      </c>
      <c r="H141" s="3" t="s">
        <v>426</v>
      </c>
      <c r="I141" s="3" t="s">
        <v>42</v>
      </c>
      <c r="J141" s="3">
        <v>16</v>
      </c>
      <c r="K141" s="3" t="s">
        <v>41</v>
      </c>
      <c r="L141" s="3" t="s">
        <v>41</v>
      </c>
      <c r="M141" s="3" t="s">
        <v>227</v>
      </c>
      <c r="N141" s="3" t="s">
        <v>408</v>
      </c>
      <c r="O141" s="3" t="s">
        <v>427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>
        <f>$S140+$R140+INDEX(Tables!$N$5:$Q$8,MATCH(MOD($S140+$R140,4),Tables!$M$5:$M$8,0),MATCH($R141,Tables!$N$4:$Q$4,0))</f>
        <v>504</v>
      </c>
      <c r="T141" s="3" t="str">
        <f t="shared" si="48"/>
        <v>1F8</v>
      </c>
      <c r="U141" s="3">
        <f t="shared" si="54"/>
        <v>126</v>
      </c>
      <c r="V141" s="3" t="str">
        <f t="shared" si="49"/>
        <v>7E</v>
      </c>
      <c r="W141" s="3" t="str">
        <f t="shared" si="50"/>
        <v/>
      </c>
      <c r="X141" s="3" t="str">
        <f t="shared" si="51"/>
        <v/>
      </c>
      <c r="Y141" s="3" t="str">
        <f t="shared" si="52"/>
        <v>X</v>
      </c>
      <c r="Z141" s="3" t="str">
        <f t="shared" si="53"/>
        <v>X</v>
      </c>
      <c r="AA141" s="3" t="str">
        <f t="shared" si="55"/>
        <v/>
      </c>
      <c r="AB141" s="3" t="str">
        <f t="shared" si="56"/>
        <v/>
      </c>
      <c r="AC141" s="3" t="str">
        <f t="shared" si="57"/>
        <v>(15 downto 8)</v>
      </c>
      <c r="AD141" s="3" t="str">
        <f t="shared" si="58"/>
        <v>(7 downto 0)</v>
      </c>
      <c r="AE141" s="3" t="str">
        <f t="shared" si="59"/>
        <v/>
      </c>
      <c r="AF141" s="3" t="str">
        <f t="shared" si="60"/>
        <v/>
      </c>
      <c r="AG141" s="3" t="str">
        <f t="shared" si="61"/>
        <v>(15 downto 8)</v>
      </c>
      <c r="AH141" s="3" t="str">
        <f t="shared" si="62"/>
        <v>(7 downto 0)</v>
      </c>
    </row>
    <row r="142" spans="2:34" x14ac:dyDescent="0.25">
      <c r="B142" s="3" t="s">
        <v>403</v>
      </c>
      <c r="C142" s="3" t="s">
        <v>428</v>
      </c>
      <c r="D142" s="3" t="s">
        <v>0</v>
      </c>
      <c r="E142" s="3" t="s">
        <v>251</v>
      </c>
      <c r="F142" s="3" t="s">
        <v>405</v>
      </c>
      <c r="G142" s="3" t="s">
        <v>406</v>
      </c>
      <c r="H142" s="3" t="s">
        <v>429</v>
      </c>
      <c r="I142" s="3" t="s">
        <v>42</v>
      </c>
      <c r="J142" s="3">
        <v>1</v>
      </c>
      <c r="K142" s="3" t="s">
        <v>41</v>
      </c>
      <c r="L142" s="3" t="s">
        <v>41</v>
      </c>
      <c r="M142" s="3" t="s">
        <v>227</v>
      </c>
      <c r="N142" s="3" t="s">
        <v>408</v>
      </c>
      <c r="O142" s="3" t="s">
        <v>430</v>
      </c>
      <c r="P142" s="3" t="s">
        <v>5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508</v>
      </c>
      <c r="T142" s="3" t="str">
        <f t="shared" si="48"/>
        <v>1FC</v>
      </c>
      <c r="U142" s="3">
        <f t="shared" si="54"/>
        <v>127</v>
      </c>
      <c r="V142" s="3" t="str">
        <f t="shared" si="49"/>
        <v>7F</v>
      </c>
      <c r="W142" s="3" t="str">
        <f t="shared" si="50"/>
        <v/>
      </c>
      <c r="X142" s="3" t="str">
        <f t="shared" si="51"/>
        <v/>
      </c>
      <c r="Y142" s="3" t="str">
        <f t="shared" si="52"/>
        <v/>
      </c>
      <c r="Z142" s="3" t="str">
        <f t="shared" si="53"/>
        <v>X</v>
      </c>
      <c r="AA142" s="3" t="str">
        <f t="shared" si="55"/>
        <v/>
      </c>
      <c r="AB142" s="3" t="str">
        <f t="shared" si="56"/>
        <v/>
      </c>
      <c r="AC142" s="3" t="str">
        <f t="shared" si="57"/>
        <v/>
      </c>
      <c r="AD142" s="3" t="str">
        <f t="shared" si="58"/>
        <v>(0)</v>
      </c>
      <c r="AE142" s="3" t="str">
        <f t="shared" si="59"/>
        <v/>
      </c>
      <c r="AF142" s="3" t="str">
        <f t="shared" si="60"/>
        <v/>
      </c>
      <c r="AG142" s="3" t="str">
        <f t="shared" si="61"/>
        <v/>
      </c>
      <c r="AH142" s="3" t="str">
        <f t="shared" si="62"/>
        <v/>
      </c>
    </row>
    <row r="143" spans="2:34" x14ac:dyDescent="0.25">
      <c r="B143" s="3" t="s">
        <v>403</v>
      </c>
      <c r="C143" s="3" t="s">
        <v>431</v>
      </c>
      <c r="D143" s="3" t="s">
        <v>0</v>
      </c>
      <c r="E143" s="3" t="s">
        <v>251</v>
      </c>
      <c r="F143" s="3" t="s">
        <v>405</v>
      </c>
      <c r="G143" s="3" t="s">
        <v>406</v>
      </c>
      <c r="H143" s="3" t="s">
        <v>432</v>
      </c>
      <c r="I143" s="3" t="s">
        <v>42</v>
      </c>
      <c r="J143" s="3">
        <v>1</v>
      </c>
      <c r="K143" s="3" t="s">
        <v>41</v>
      </c>
      <c r="L143" s="3" t="s">
        <v>41</v>
      </c>
      <c r="M143" s="3" t="s">
        <v>227</v>
      </c>
      <c r="N143" s="3" t="s">
        <v>408</v>
      </c>
      <c r="O143" s="3" t="s">
        <v>433</v>
      </c>
      <c r="P143" s="3" t="s">
        <v>5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$S142+$R142+INDEX(Tables!$N$5:$Q$8,MATCH(MOD($S142+$R142,4),Tables!$M$5:$M$8,0),MATCH($R143,Tables!$N$4:$Q$4,0))</f>
        <v>512</v>
      </c>
      <c r="T143" s="3" t="str">
        <f t="shared" si="48"/>
        <v>200</v>
      </c>
      <c r="U143" s="3">
        <f t="shared" si="54"/>
        <v>128</v>
      </c>
      <c r="V143" s="3" t="str">
        <f t="shared" si="49"/>
        <v>80</v>
      </c>
      <c r="W143" s="3" t="str">
        <f t="shared" si="50"/>
        <v/>
      </c>
      <c r="X143" s="3" t="str">
        <f t="shared" si="51"/>
        <v/>
      </c>
      <c r="Y143" s="3" t="str">
        <f t="shared" si="52"/>
        <v/>
      </c>
      <c r="Z143" s="3" t="str">
        <f t="shared" si="53"/>
        <v>X</v>
      </c>
      <c r="AA143" s="3" t="str">
        <f t="shared" si="55"/>
        <v/>
      </c>
      <c r="AB143" s="3" t="str">
        <f t="shared" si="56"/>
        <v/>
      </c>
      <c r="AC143" s="3" t="str">
        <f t="shared" si="57"/>
        <v/>
      </c>
      <c r="AD143" s="3" t="str">
        <f t="shared" si="58"/>
        <v>(0)</v>
      </c>
      <c r="AE143" s="3" t="str">
        <f t="shared" si="59"/>
        <v/>
      </c>
      <c r="AF143" s="3" t="str">
        <f t="shared" si="60"/>
        <v/>
      </c>
      <c r="AG143" s="3" t="str">
        <f t="shared" si="61"/>
        <v/>
      </c>
      <c r="AH143" s="3" t="str">
        <f t="shared" si="62"/>
        <v/>
      </c>
    </row>
    <row r="144" spans="2:34" x14ac:dyDescent="0.25">
      <c r="B144" s="3" t="s">
        <v>403</v>
      </c>
      <c r="C144" s="3" t="s">
        <v>434</v>
      </c>
      <c r="D144" s="3" t="s">
        <v>0</v>
      </c>
      <c r="E144" s="3" t="s">
        <v>251</v>
      </c>
      <c r="F144" s="3" t="s">
        <v>405</v>
      </c>
      <c r="G144" s="3" t="s">
        <v>406</v>
      </c>
      <c r="H144" s="3" t="s">
        <v>435</v>
      </c>
      <c r="I144" s="3" t="s">
        <v>42</v>
      </c>
      <c r="J144" s="3">
        <v>1</v>
      </c>
      <c r="K144" s="3" t="s">
        <v>41</v>
      </c>
      <c r="L144" s="3" t="s">
        <v>41</v>
      </c>
      <c r="M144" s="3" t="s">
        <v>227</v>
      </c>
      <c r="N144" s="3" t="s">
        <v>408</v>
      </c>
      <c r="O144" s="3" t="s">
        <v>436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516</v>
      </c>
      <c r="T144" s="3" t="str">
        <f t="shared" si="48"/>
        <v>204</v>
      </c>
      <c r="U144" s="3">
        <f t="shared" si="54"/>
        <v>129</v>
      </c>
      <c r="V144" s="3" t="str">
        <f t="shared" si="49"/>
        <v>81</v>
      </c>
      <c r="W144" s="3" t="str">
        <f t="shared" si="50"/>
        <v/>
      </c>
      <c r="X144" s="3" t="str">
        <f t="shared" si="51"/>
        <v/>
      </c>
      <c r="Y144" s="3" t="str">
        <f t="shared" si="52"/>
        <v/>
      </c>
      <c r="Z144" s="3" t="str">
        <f t="shared" si="53"/>
        <v>X</v>
      </c>
      <c r="AA144" s="3" t="str">
        <f t="shared" si="55"/>
        <v/>
      </c>
      <c r="AB144" s="3" t="str">
        <f t="shared" si="56"/>
        <v/>
      </c>
      <c r="AC144" s="3" t="str">
        <f t="shared" si="57"/>
        <v/>
      </c>
      <c r="AD144" s="3" t="str">
        <f t="shared" si="58"/>
        <v>(0)</v>
      </c>
      <c r="AE144" s="3" t="str">
        <f t="shared" si="59"/>
        <v/>
      </c>
      <c r="AF144" s="3" t="str">
        <f t="shared" si="60"/>
        <v/>
      </c>
      <c r="AG144" s="3" t="str">
        <f t="shared" si="61"/>
        <v/>
      </c>
      <c r="AH144" s="3" t="str">
        <f t="shared" si="62"/>
        <v/>
      </c>
    </row>
    <row r="145" spans="2:34" x14ac:dyDescent="0.25">
      <c r="B145" s="3" t="s">
        <v>403</v>
      </c>
      <c r="C145" s="3" t="s">
        <v>437</v>
      </c>
      <c r="D145" s="3" t="s">
        <v>0</v>
      </c>
      <c r="E145" s="3" t="s">
        <v>251</v>
      </c>
      <c r="F145" s="3" t="s">
        <v>405</v>
      </c>
      <c r="G145" s="3" t="s">
        <v>406</v>
      </c>
      <c r="H145" s="3" t="s">
        <v>438</v>
      </c>
      <c r="I145" s="3" t="s">
        <v>42</v>
      </c>
      <c r="J145" s="3">
        <v>16</v>
      </c>
      <c r="K145" s="3" t="s">
        <v>41</v>
      </c>
      <c r="L145" s="3" t="s">
        <v>41</v>
      </c>
      <c r="M145" s="3" t="s">
        <v>227</v>
      </c>
      <c r="N145" s="3" t="s">
        <v>408</v>
      </c>
      <c r="O145" s="3" t="s">
        <v>439</v>
      </c>
      <c r="P145" s="3" t="s">
        <v>50</v>
      </c>
      <c r="Q145" s="3">
        <f>INDEX(Tables!$C$4:$C$28,MATCH($P145,Tables!$B$4:$B$28,0))</f>
        <v>16</v>
      </c>
      <c r="R145" s="3">
        <f>INDEX(Tables!$D$4:$D$28,MATCH($P145,Tables!$B$4:$B$28,0))</f>
        <v>2</v>
      </c>
      <c r="S145" s="3">
        <f>$S144+$R144+INDEX(Tables!$N$5:$Q$8,MATCH(MOD($S144+$R144,4),Tables!$M$5:$M$8,0),MATCH($R145,Tables!$N$4:$Q$4,0))</f>
        <v>520</v>
      </c>
      <c r="T145" s="3" t="str">
        <f t="shared" si="48"/>
        <v>208</v>
      </c>
      <c r="U145" s="3">
        <f t="shared" si="54"/>
        <v>130</v>
      </c>
      <c r="V145" s="3" t="str">
        <f t="shared" si="49"/>
        <v>82</v>
      </c>
      <c r="W145" s="3" t="str">
        <f t="shared" si="50"/>
        <v/>
      </c>
      <c r="X145" s="3" t="str">
        <f t="shared" si="51"/>
        <v/>
      </c>
      <c r="Y145" s="3" t="str">
        <f t="shared" si="52"/>
        <v>X</v>
      </c>
      <c r="Z145" s="3" t="str">
        <f t="shared" si="53"/>
        <v>X</v>
      </c>
      <c r="AA145" s="3" t="str">
        <f t="shared" si="55"/>
        <v/>
      </c>
      <c r="AB145" s="3" t="str">
        <f t="shared" si="56"/>
        <v/>
      </c>
      <c r="AC145" s="3" t="str">
        <f t="shared" si="57"/>
        <v>(15 downto 8)</v>
      </c>
      <c r="AD145" s="3" t="str">
        <f t="shared" si="58"/>
        <v>(7 downto 0)</v>
      </c>
      <c r="AE145" s="3" t="str">
        <f t="shared" si="59"/>
        <v/>
      </c>
      <c r="AF145" s="3" t="str">
        <f t="shared" si="60"/>
        <v/>
      </c>
      <c r="AG145" s="3" t="str">
        <f t="shared" si="61"/>
        <v>(15 downto 8)</v>
      </c>
      <c r="AH145" s="3" t="str">
        <f t="shared" si="62"/>
        <v>(7 downto 0)</v>
      </c>
    </row>
    <row r="146" spans="2:34" x14ac:dyDescent="0.25">
      <c r="B146" s="3" t="s">
        <v>403</v>
      </c>
      <c r="C146" s="3" t="s">
        <v>440</v>
      </c>
      <c r="D146" s="3" t="s">
        <v>0</v>
      </c>
      <c r="E146" s="3" t="s">
        <v>251</v>
      </c>
      <c r="F146" s="3" t="s">
        <v>405</v>
      </c>
      <c r="G146" s="3" t="s">
        <v>406</v>
      </c>
      <c r="H146" s="3" t="s">
        <v>441</v>
      </c>
      <c r="I146" s="3" t="s">
        <v>42</v>
      </c>
      <c r="J146" s="3">
        <v>1</v>
      </c>
      <c r="K146" s="3" t="s">
        <v>41</v>
      </c>
      <c r="L146" s="3" t="s">
        <v>41</v>
      </c>
      <c r="M146" s="3" t="s">
        <v>227</v>
      </c>
      <c r="N146" s="3" t="s">
        <v>408</v>
      </c>
      <c r="O146" s="3" t="s">
        <v>442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$S145+$R145+INDEX(Tables!$N$5:$Q$8,MATCH(MOD($S145+$R145,4),Tables!$M$5:$M$8,0),MATCH($R146,Tables!$N$4:$Q$4,0))</f>
        <v>524</v>
      </c>
      <c r="T146" s="3" t="str">
        <f t="shared" si="48"/>
        <v>20C</v>
      </c>
      <c r="U146" s="3">
        <f t="shared" si="54"/>
        <v>131</v>
      </c>
      <c r="V146" s="3" t="str">
        <f t="shared" si="49"/>
        <v>83</v>
      </c>
      <c r="W146" s="3" t="str">
        <f t="shared" si="50"/>
        <v/>
      </c>
      <c r="X146" s="3" t="str">
        <f t="shared" si="51"/>
        <v/>
      </c>
      <c r="Y146" s="3" t="str">
        <f t="shared" si="52"/>
        <v/>
      </c>
      <c r="Z146" s="3" t="str">
        <f t="shared" si="53"/>
        <v>X</v>
      </c>
      <c r="AA146" s="3" t="str">
        <f t="shared" si="55"/>
        <v/>
      </c>
      <c r="AB146" s="3" t="str">
        <f t="shared" si="56"/>
        <v/>
      </c>
      <c r="AC146" s="3" t="str">
        <f t="shared" si="57"/>
        <v/>
      </c>
      <c r="AD146" s="3" t="str">
        <f t="shared" si="58"/>
        <v>(0)</v>
      </c>
      <c r="AE146" s="3" t="str">
        <f t="shared" si="59"/>
        <v/>
      </c>
      <c r="AF146" s="3" t="str">
        <f t="shared" si="60"/>
        <v/>
      </c>
      <c r="AG146" s="3" t="str">
        <f t="shared" si="61"/>
        <v/>
      </c>
      <c r="AH146" s="3" t="str">
        <f t="shared" si="62"/>
        <v/>
      </c>
    </row>
  </sheetData>
  <autoFilter ref="B3:AH146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8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484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485</v>
      </c>
      <c r="H6" t="s">
        <v>491</v>
      </c>
    </row>
    <row r="7" spans="2:8" x14ac:dyDescent="0.25">
      <c r="H7" t="s">
        <v>1932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520</v>
      </c>
    </row>
    <row r="12" spans="2:8" x14ac:dyDescent="0.25">
      <c r="H12" t="s">
        <v>521</v>
      </c>
    </row>
    <row r="13" spans="2:8" x14ac:dyDescent="0.25">
      <c r="H13" t="s">
        <v>522</v>
      </c>
    </row>
    <row r="14" spans="2:8" x14ac:dyDescent="0.25">
      <c r="B14" s="27"/>
      <c r="H14" t="s">
        <v>523</v>
      </c>
    </row>
    <row r="15" spans="2:8" x14ac:dyDescent="0.25">
      <c r="H15" t="s">
        <v>524</v>
      </c>
    </row>
    <row r="16" spans="2:8" x14ac:dyDescent="0.25">
      <c r="H16" t="s">
        <v>525</v>
      </c>
    </row>
    <row r="17" spans="2:8" x14ac:dyDescent="0.25">
      <c r="B17" s="27"/>
      <c r="H17" t="s">
        <v>526</v>
      </c>
    </row>
    <row r="19" spans="2:8" x14ac:dyDescent="0.25">
      <c r="H19" t="s">
        <v>492</v>
      </c>
    </row>
    <row r="20" spans="2:8" x14ac:dyDescent="0.25">
      <c r="B20" s="27"/>
      <c r="H20" t="s">
        <v>493</v>
      </c>
    </row>
    <row r="21" spans="2:8" x14ac:dyDescent="0.25">
      <c r="H21" t="s">
        <v>494</v>
      </c>
    </row>
    <row r="22" spans="2:8" x14ac:dyDescent="0.25">
      <c r="H22" t="s">
        <v>495</v>
      </c>
    </row>
    <row r="24" spans="2:8" x14ac:dyDescent="0.25">
      <c r="H24" t="s">
        <v>496</v>
      </c>
    </row>
    <row r="25" spans="2:8" x14ac:dyDescent="0.25">
      <c r="H25" t="s">
        <v>497</v>
      </c>
    </row>
    <row r="26" spans="2:8" x14ac:dyDescent="0.25">
      <c r="H26" t="s">
        <v>498</v>
      </c>
    </row>
    <row r="27" spans="2:8" x14ac:dyDescent="0.25">
      <c r="H27" t="s">
        <v>499</v>
      </c>
    </row>
    <row r="28" spans="2:8" x14ac:dyDescent="0.25">
      <c r="H28" t="s">
        <v>500</v>
      </c>
    </row>
    <row r="29" spans="2:8" x14ac:dyDescent="0.25">
      <c r="H29" t="s">
        <v>501</v>
      </c>
    </row>
    <row r="30" spans="2:8" x14ac:dyDescent="0.25">
      <c r="H30" t="s">
        <v>502</v>
      </c>
    </row>
    <row r="31" spans="2:8" x14ac:dyDescent="0.25">
      <c r="H31" t="s">
        <v>503</v>
      </c>
    </row>
    <row r="33" spans="8:8" x14ac:dyDescent="0.25">
      <c r="H33" t="s">
        <v>504</v>
      </c>
    </row>
    <row r="34" spans="8:8" x14ac:dyDescent="0.25">
      <c r="H34" t="s">
        <v>505</v>
      </c>
    </row>
    <row r="35" spans="8:8" x14ac:dyDescent="0.25">
      <c r="H35" t="s">
        <v>506</v>
      </c>
    </row>
    <row r="36" spans="8:8" x14ac:dyDescent="0.25">
      <c r="H36" t="s">
        <v>507</v>
      </c>
    </row>
    <row r="37" spans="8:8" x14ac:dyDescent="0.25">
      <c r="H37" t="s">
        <v>508</v>
      </c>
    </row>
    <row r="38" spans="8:8" x14ac:dyDescent="0.25">
      <c r="H38" t="s">
        <v>509</v>
      </c>
    </row>
    <row r="39" spans="8:8" x14ac:dyDescent="0.25">
      <c r="H39" t="s">
        <v>510</v>
      </c>
    </row>
    <row r="40" spans="8:8" x14ac:dyDescent="0.25">
      <c r="H40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4" spans="8:8" x14ac:dyDescent="0.25">
      <c r="H44" t="s">
        <v>514</v>
      </c>
    </row>
    <row r="45" spans="8:8" x14ac:dyDescent="0.25">
      <c r="H45" t="s">
        <v>515</v>
      </c>
    </row>
    <row r="46" spans="8:8" x14ac:dyDescent="0.25">
      <c r="H46" t="s">
        <v>516</v>
      </c>
    </row>
    <row r="47" spans="8:8" x14ac:dyDescent="0.25">
      <c r="H47" t="s">
        <v>517</v>
      </c>
    </row>
    <row r="48" spans="8:8" x14ac:dyDescent="0.25">
      <c r="H48" t="s">
        <v>518</v>
      </c>
    </row>
    <row r="49" spans="8:8" x14ac:dyDescent="0.25">
      <c r="H49" t="s">
        <v>519</v>
      </c>
    </row>
    <row r="51" spans="8:8" x14ac:dyDescent="0.25">
      <c r="H51" t="s">
        <v>1033</v>
      </c>
    </row>
    <row r="52" spans="8:8" x14ac:dyDescent="0.25">
      <c r="H52" t="s">
        <v>1034</v>
      </c>
    </row>
    <row r="53" spans="8:8" x14ac:dyDescent="0.25">
      <c r="H53" t="s">
        <v>1217</v>
      </c>
    </row>
    <row r="54" spans="8:8" x14ac:dyDescent="0.25">
      <c r="H54" t="s">
        <v>1218</v>
      </c>
    </row>
    <row r="55" spans="8:8" x14ac:dyDescent="0.25">
      <c r="H55" t="s">
        <v>1035</v>
      </c>
    </row>
    <row r="57" spans="8:8" x14ac:dyDescent="0.25">
      <c r="H57" t="s">
        <v>1036</v>
      </c>
    </row>
    <row r="58" spans="8:8" x14ac:dyDescent="0.25">
      <c r="H58" t="s">
        <v>1037</v>
      </c>
    </row>
    <row r="59" spans="8:8" x14ac:dyDescent="0.25">
      <c r="H59" t="s">
        <v>1219</v>
      </c>
    </row>
    <row r="60" spans="8:8" x14ac:dyDescent="0.25">
      <c r="H60" t="s">
        <v>1220</v>
      </c>
    </row>
    <row r="61" spans="8:8" x14ac:dyDescent="0.25">
      <c r="H61" t="s">
        <v>1038</v>
      </c>
    </row>
    <row r="63" spans="8:8" x14ac:dyDescent="0.25">
      <c r="H63" t="s">
        <v>1039</v>
      </c>
    </row>
    <row r="64" spans="8:8" x14ac:dyDescent="0.25">
      <c r="H64" t="s">
        <v>1040</v>
      </c>
    </row>
    <row r="65" spans="8:8" x14ac:dyDescent="0.25">
      <c r="H65" t="s">
        <v>1221</v>
      </c>
    </row>
    <row r="66" spans="8:8" x14ac:dyDescent="0.25">
      <c r="H66" t="s">
        <v>1222</v>
      </c>
    </row>
    <row r="67" spans="8:8" x14ac:dyDescent="0.25">
      <c r="H67" t="s">
        <v>1041</v>
      </c>
    </row>
    <row r="69" spans="8:8" x14ac:dyDescent="0.25">
      <c r="H69" t="s">
        <v>527</v>
      </c>
    </row>
    <row r="70" spans="8:8" x14ac:dyDescent="0.25">
      <c r="H70" t="s">
        <v>528</v>
      </c>
    </row>
    <row r="71" spans="8:8" x14ac:dyDescent="0.25">
      <c r="H71" t="s">
        <v>529</v>
      </c>
    </row>
    <row r="72" spans="8:8" x14ac:dyDescent="0.25">
      <c r="H72" t="s">
        <v>530</v>
      </c>
    </row>
    <row r="73" spans="8:8" x14ac:dyDescent="0.25">
      <c r="H73" t="s">
        <v>531</v>
      </c>
    </row>
    <row r="74" spans="8:8" x14ac:dyDescent="0.25">
      <c r="H74" t="s">
        <v>532</v>
      </c>
    </row>
    <row r="75" spans="8:8" x14ac:dyDescent="0.25">
      <c r="H75" t="s">
        <v>533</v>
      </c>
    </row>
    <row r="76" spans="8:8" x14ac:dyDescent="0.25">
      <c r="H76" t="s">
        <v>534</v>
      </c>
    </row>
    <row r="77" spans="8:8" x14ac:dyDescent="0.25">
      <c r="H77" t="s">
        <v>535</v>
      </c>
    </row>
    <row r="78" spans="8:8" x14ac:dyDescent="0.25">
      <c r="H78" t="s">
        <v>536</v>
      </c>
    </row>
    <row r="79" spans="8:8" x14ac:dyDescent="0.25">
      <c r="H79" t="s">
        <v>537</v>
      </c>
    </row>
    <row r="80" spans="8:8" x14ac:dyDescent="0.25">
      <c r="H80" t="s">
        <v>538</v>
      </c>
    </row>
    <row r="81" spans="8:8" x14ac:dyDescent="0.25">
      <c r="H81" t="s">
        <v>539</v>
      </c>
    </row>
    <row r="83" spans="8:8" x14ac:dyDescent="0.25">
      <c r="H83" t="s">
        <v>540</v>
      </c>
    </row>
    <row r="84" spans="8:8" x14ac:dyDescent="0.25">
      <c r="H84" t="s">
        <v>541</v>
      </c>
    </row>
    <row r="85" spans="8:8" x14ac:dyDescent="0.25">
      <c r="H85" t="s">
        <v>542</v>
      </c>
    </row>
    <row r="86" spans="8:8" x14ac:dyDescent="0.25">
      <c r="H86" t="s">
        <v>543</v>
      </c>
    </row>
    <row r="87" spans="8:8" x14ac:dyDescent="0.25">
      <c r="H87" t="s">
        <v>544</v>
      </c>
    </row>
    <row r="88" spans="8:8" x14ac:dyDescent="0.25">
      <c r="H88" t="s">
        <v>545</v>
      </c>
    </row>
    <row r="89" spans="8:8" x14ac:dyDescent="0.25">
      <c r="H89" t="s">
        <v>546</v>
      </c>
    </row>
    <row r="90" spans="8:8" x14ac:dyDescent="0.25">
      <c r="H90" t="s">
        <v>547</v>
      </c>
    </row>
    <row r="91" spans="8:8" x14ac:dyDescent="0.25">
      <c r="H91" t="s">
        <v>548</v>
      </c>
    </row>
    <row r="92" spans="8:8" x14ac:dyDescent="0.25">
      <c r="H92" t="s">
        <v>549</v>
      </c>
    </row>
    <row r="93" spans="8:8" x14ac:dyDescent="0.25">
      <c r="H93" t="s">
        <v>550</v>
      </c>
    </row>
    <row r="94" spans="8:8" x14ac:dyDescent="0.25">
      <c r="H94" t="s">
        <v>551</v>
      </c>
    </row>
    <row r="95" spans="8:8" x14ac:dyDescent="0.25">
      <c r="H95" t="s">
        <v>552</v>
      </c>
    </row>
    <row r="97" spans="8:8" x14ac:dyDescent="0.25">
      <c r="H97" t="s">
        <v>1042</v>
      </c>
    </row>
    <row r="98" spans="8:8" x14ac:dyDescent="0.25">
      <c r="H98" t="s">
        <v>1043</v>
      </c>
    </row>
    <row r="99" spans="8:8" x14ac:dyDescent="0.25">
      <c r="H99" t="s">
        <v>1044</v>
      </c>
    </row>
    <row r="100" spans="8:8" x14ac:dyDescent="0.25">
      <c r="H100" t="s">
        <v>1045</v>
      </c>
    </row>
    <row r="101" spans="8:8" x14ac:dyDescent="0.25">
      <c r="H101" t="s">
        <v>1046</v>
      </c>
    </row>
    <row r="102" spans="8:8" x14ac:dyDescent="0.25">
      <c r="H102" t="s">
        <v>1047</v>
      </c>
    </row>
    <row r="103" spans="8:8" x14ac:dyDescent="0.25">
      <c r="H103" t="s">
        <v>1048</v>
      </c>
    </row>
    <row r="104" spans="8:8" x14ac:dyDescent="0.25">
      <c r="H104" t="s">
        <v>1049</v>
      </c>
    </row>
    <row r="105" spans="8:8" x14ac:dyDescent="0.25">
      <c r="H105" t="s">
        <v>1050</v>
      </c>
    </row>
    <row r="106" spans="8:8" x14ac:dyDescent="0.25">
      <c r="H106" t="s">
        <v>1051</v>
      </c>
    </row>
    <row r="107" spans="8:8" x14ac:dyDescent="0.25">
      <c r="H107" t="s">
        <v>1052</v>
      </c>
    </row>
    <row r="108" spans="8:8" x14ac:dyDescent="0.25">
      <c r="H108" t="s">
        <v>1053</v>
      </c>
    </row>
    <row r="109" spans="8:8" x14ac:dyDescent="0.25">
      <c r="H109" t="s">
        <v>1054</v>
      </c>
    </row>
    <row r="110" spans="8:8" x14ac:dyDescent="0.25">
      <c r="H110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590</v>
      </c>
    </row>
    <row r="115" spans="8:8" x14ac:dyDescent="0.25">
      <c r="H115" t="s">
        <v>1058</v>
      </c>
    </row>
    <row r="116" spans="8:8" x14ac:dyDescent="0.25">
      <c r="H116" t="s">
        <v>1059</v>
      </c>
    </row>
    <row r="118" spans="8:8" x14ac:dyDescent="0.25">
      <c r="H118" t="s">
        <v>1933</v>
      </c>
    </row>
    <row r="119" spans="8:8" x14ac:dyDescent="0.25">
      <c r="H119" t="s">
        <v>1934</v>
      </c>
    </row>
    <row r="120" spans="8:8" x14ac:dyDescent="0.25">
      <c r="H120" t="s">
        <v>1935</v>
      </c>
    </row>
    <row r="121" spans="8:8" x14ac:dyDescent="0.25">
      <c r="H121" t="s">
        <v>1936</v>
      </c>
    </row>
    <row r="122" spans="8:8" x14ac:dyDescent="0.25">
      <c r="H122" t="s">
        <v>1937</v>
      </c>
    </row>
    <row r="124" spans="8:8" x14ac:dyDescent="0.25">
      <c r="H124" t="s">
        <v>1764</v>
      </c>
    </row>
    <row r="125" spans="8:8" x14ac:dyDescent="0.25">
      <c r="H125" t="s">
        <v>1765</v>
      </c>
    </row>
    <row r="126" spans="8:8" x14ac:dyDescent="0.25">
      <c r="H126" t="s">
        <v>1766</v>
      </c>
    </row>
    <row r="127" spans="8:8" x14ac:dyDescent="0.25">
      <c r="H127" t="s">
        <v>1767</v>
      </c>
    </row>
    <row r="128" spans="8:8" x14ac:dyDescent="0.25">
      <c r="H128" t="s">
        <v>1768</v>
      </c>
    </row>
    <row r="129" spans="8:8" x14ac:dyDescent="0.25">
      <c r="H129" t="s">
        <v>1769</v>
      </c>
    </row>
    <row r="130" spans="8:8" x14ac:dyDescent="0.25">
      <c r="H130" t="s">
        <v>1770</v>
      </c>
    </row>
    <row r="131" spans="8:8" x14ac:dyDescent="0.25">
      <c r="H131" t="s">
        <v>1771</v>
      </c>
    </row>
    <row r="133" spans="8:8" x14ac:dyDescent="0.25">
      <c r="H133" t="s">
        <v>1772</v>
      </c>
    </row>
    <row r="134" spans="8:8" x14ac:dyDescent="0.25">
      <c r="H134" t="s">
        <v>1773</v>
      </c>
    </row>
    <row r="135" spans="8:8" x14ac:dyDescent="0.25">
      <c r="H135" t="s">
        <v>1774</v>
      </c>
    </row>
    <row r="136" spans="8:8" x14ac:dyDescent="0.25">
      <c r="H136" t="s">
        <v>1775</v>
      </c>
    </row>
    <row r="138" spans="8:8" x14ac:dyDescent="0.25">
      <c r="H138" t="s">
        <v>1776</v>
      </c>
    </row>
    <row r="139" spans="8:8" x14ac:dyDescent="0.25">
      <c r="H139" t="s">
        <v>1777</v>
      </c>
    </row>
    <row r="140" spans="8:8" x14ac:dyDescent="0.25">
      <c r="H140" t="s">
        <v>1778</v>
      </c>
    </row>
    <row r="141" spans="8:8" x14ac:dyDescent="0.25">
      <c r="H141" t="s">
        <v>1779</v>
      </c>
    </row>
    <row r="142" spans="8:8" x14ac:dyDescent="0.25">
      <c r="H142" t="s">
        <v>1780</v>
      </c>
    </row>
    <row r="143" spans="8:8" x14ac:dyDescent="0.25">
      <c r="H143" t="s">
        <v>1781</v>
      </c>
    </row>
    <row r="144" spans="8:8" x14ac:dyDescent="0.25">
      <c r="H144" t="s">
        <v>1782</v>
      </c>
    </row>
    <row r="145" spans="8:8" x14ac:dyDescent="0.25">
      <c r="H145" t="s">
        <v>1783</v>
      </c>
    </row>
    <row r="147" spans="8:8" x14ac:dyDescent="0.25">
      <c r="H147" t="s">
        <v>1784</v>
      </c>
    </row>
    <row r="148" spans="8:8" x14ac:dyDescent="0.25">
      <c r="H148" t="s">
        <v>1785</v>
      </c>
    </row>
    <row r="149" spans="8:8" x14ac:dyDescent="0.25">
      <c r="H149" t="s">
        <v>1786</v>
      </c>
    </row>
    <row r="150" spans="8:8" x14ac:dyDescent="0.25">
      <c r="H150" t="s">
        <v>1787</v>
      </c>
    </row>
    <row r="152" spans="8:8" x14ac:dyDescent="0.25">
      <c r="H152" t="s">
        <v>1359</v>
      </c>
    </row>
    <row r="153" spans="8:8" x14ac:dyDescent="0.25">
      <c r="H153" t="s">
        <v>1360</v>
      </c>
    </row>
    <row r="154" spans="8:8" x14ac:dyDescent="0.25">
      <c r="H154" t="s">
        <v>1361</v>
      </c>
    </row>
    <row r="155" spans="8:8" x14ac:dyDescent="0.25">
      <c r="H155" t="s">
        <v>1362</v>
      </c>
    </row>
    <row r="156" spans="8:8" x14ac:dyDescent="0.25">
      <c r="H156" t="s">
        <v>1363</v>
      </c>
    </row>
    <row r="157" spans="8:8" x14ac:dyDescent="0.25">
      <c r="H157" t="s">
        <v>1364</v>
      </c>
    </row>
    <row r="158" spans="8:8" x14ac:dyDescent="0.25">
      <c r="H158" t="s">
        <v>1365</v>
      </c>
    </row>
    <row r="159" spans="8:8" x14ac:dyDescent="0.25">
      <c r="H159" t="s">
        <v>1366</v>
      </c>
    </row>
    <row r="160" spans="8:8" x14ac:dyDescent="0.25">
      <c r="H160" t="s">
        <v>1367</v>
      </c>
    </row>
    <row r="161" spans="8:8" x14ac:dyDescent="0.25">
      <c r="H161" t="s">
        <v>1368</v>
      </c>
    </row>
    <row r="163" spans="8:8" x14ac:dyDescent="0.25">
      <c r="H163" t="s">
        <v>1369</v>
      </c>
    </row>
    <row r="164" spans="8:8" x14ac:dyDescent="0.25">
      <c r="H164" t="s">
        <v>1370</v>
      </c>
    </row>
    <row r="165" spans="8:8" x14ac:dyDescent="0.25">
      <c r="H165" t="s">
        <v>1371</v>
      </c>
    </row>
    <row r="166" spans="8:8" x14ac:dyDescent="0.25">
      <c r="H166" t="s">
        <v>1372</v>
      </c>
    </row>
    <row r="167" spans="8:8" x14ac:dyDescent="0.25">
      <c r="H167" t="s">
        <v>1373</v>
      </c>
    </row>
    <row r="168" spans="8:8" x14ac:dyDescent="0.25">
      <c r="H168" t="s">
        <v>1374</v>
      </c>
    </row>
    <row r="169" spans="8:8" x14ac:dyDescent="0.25">
      <c r="H169" t="s">
        <v>1375</v>
      </c>
    </row>
    <row r="170" spans="8:8" x14ac:dyDescent="0.25">
      <c r="H170" t="s">
        <v>1376</v>
      </c>
    </row>
    <row r="171" spans="8:8" x14ac:dyDescent="0.25">
      <c r="H171" t="s">
        <v>1377</v>
      </c>
    </row>
    <row r="172" spans="8:8" x14ac:dyDescent="0.25">
      <c r="H172" t="s">
        <v>1378</v>
      </c>
    </row>
    <row r="174" spans="8:8" x14ac:dyDescent="0.25">
      <c r="H174" t="s">
        <v>1379</v>
      </c>
    </row>
    <row r="175" spans="8:8" x14ac:dyDescent="0.25">
      <c r="H175" t="s">
        <v>1380</v>
      </c>
    </row>
    <row r="176" spans="8:8" x14ac:dyDescent="0.25">
      <c r="H176" t="s">
        <v>1381</v>
      </c>
    </row>
    <row r="177" spans="8:8" x14ac:dyDescent="0.25">
      <c r="H177" t="s">
        <v>1382</v>
      </c>
    </row>
    <row r="178" spans="8:8" x14ac:dyDescent="0.25">
      <c r="H178" t="s">
        <v>1383</v>
      </c>
    </row>
    <row r="179" spans="8:8" x14ac:dyDescent="0.25">
      <c r="H179" t="s">
        <v>1384</v>
      </c>
    </row>
    <row r="180" spans="8:8" x14ac:dyDescent="0.25">
      <c r="H180" t="s">
        <v>1385</v>
      </c>
    </row>
    <row r="181" spans="8:8" x14ac:dyDescent="0.25">
      <c r="H181" t="s">
        <v>1386</v>
      </c>
    </row>
    <row r="182" spans="8:8" x14ac:dyDescent="0.25">
      <c r="H182" t="s">
        <v>1387</v>
      </c>
    </row>
    <row r="183" spans="8:8" x14ac:dyDescent="0.25">
      <c r="H183" t="s">
        <v>1388</v>
      </c>
    </row>
    <row r="185" spans="8:8" x14ac:dyDescent="0.25">
      <c r="H185" t="s">
        <v>1637</v>
      </c>
    </row>
    <row r="186" spans="8:8" x14ac:dyDescent="0.25">
      <c r="H186" t="s">
        <v>1638</v>
      </c>
    </row>
    <row r="187" spans="8:8" x14ac:dyDescent="0.25">
      <c r="H187" t="s">
        <v>1639</v>
      </c>
    </row>
    <row r="188" spans="8:8" x14ac:dyDescent="0.25">
      <c r="H188" t="s">
        <v>1640</v>
      </c>
    </row>
    <row r="189" spans="8:8" x14ac:dyDescent="0.25">
      <c r="H189" t="s">
        <v>1641</v>
      </c>
    </row>
    <row r="190" spans="8:8" x14ac:dyDescent="0.25">
      <c r="H190" t="s">
        <v>1642</v>
      </c>
    </row>
    <row r="191" spans="8:8" x14ac:dyDescent="0.25">
      <c r="H191" t="s">
        <v>1643</v>
      </c>
    </row>
    <row r="192" spans="8:8" x14ac:dyDescent="0.25">
      <c r="H192" t="s">
        <v>1644</v>
      </c>
    </row>
    <row r="193" spans="8:8" x14ac:dyDescent="0.25">
      <c r="H193" t="s">
        <v>1645</v>
      </c>
    </row>
    <row r="194" spans="8:8" x14ac:dyDescent="0.25">
      <c r="H194" t="s">
        <v>1646</v>
      </c>
    </row>
    <row r="196" spans="8:8" x14ac:dyDescent="0.25">
      <c r="H196" t="s">
        <v>577</v>
      </c>
    </row>
    <row r="197" spans="8:8" x14ac:dyDescent="0.25">
      <c r="H197" t="s">
        <v>578</v>
      </c>
    </row>
    <row r="198" spans="8:8" x14ac:dyDescent="0.25">
      <c r="H198" t="s">
        <v>579</v>
      </c>
    </row>
    <row r="199" spans="8:8" x14ac:dyDescent="0.25">
      <c r="H199" t="s">
        <v>580</v>
      </c>
    </row>
    <row r="200" spans="8:8" x14ac:dyDescent="0.25">
      <c r="H200" t="s">
        <v>581</v>
      </c>
    </row>
    <row r="201" spans="8:8" x14ac:dyDescent="0.25">
      <c r="H201" t="s">
        <v>582</v>
      </c>
    </row>
    <row r="202" spans="8:8" x14ac:dyDescent="0.25">
      <c r="H202" t="s">
        <v>583</v>
      </c>
    </row>
    <row r="203" spans="8:8" x14ac:dyDescent="0.25">
      <c r="H203" t="s">
        <v>584</v>
      </c>
    </row>
    <row r="204" spans="8:8" x14ac:dyDescent="0.25">
      <c r="H204" t="s">
        <v>585</v>
      </c>
    </row>
    <row r="205" spans="8:8" x14ac:dyDescent="0.25">
      <c r="H205" t="s">
        <v>586</v>
      </c>
    </row>
    <row r="206" spans="8:8" x14ac:dyDescent="0.25">
      <c r="H206" t="s">
        <v>587</v>
      </c>
    </row>
    <row r="207" spans="8:8" x14ac:dyDescent="0.25">
      <c r="H207" t="s">
        <v>588</v>
      </c>
    </row>
    <row r="208" spans="8:8" x14ac:dyDescent="0.25">
      <c r="H208" t="s">
        <v>589</v>
      </c>
    </row>
    <row r="210" spans="8:8" x14ac:dyDescent="0.25">
      <c r="H210" t="s">
        <v>1223</v>
      </c>
    </row>
    <row r="211" spans="8:8" x14ac:dyDescent="0.25">
      <c r="H211" t="s">
        <v>1060</v>
      </c>
    </row>
    <row r="212" spans="8:8" x14ac:dyDescent="0.25">
      <c r="H212" t="s">
        <v>1224</v>
      </c>
    </row>
    <row r="213" spans="8:8" x14ac:dyDescent="0.25">
      <c r="H213" t="s">
        <v>1225</v>
      </c>
    </row>
    <row r="214" spans="8:8" x14ac:dyDescent="0.25">
      <c r="H214" t="s">
        <v>1061</v>
      </c>
    </row>
    <row r="215" spans="8:8" x14ac:dyDescent="0.25">
      <c r="H215" t="s">
        <v>1062</v>
      </c>
    </row>
    <row r="216" spans="8:8" x14ac:dyDescent="0.25">
      <c r="H216" t="s">
        <v>1063</v>
      </c>
    </row>
    <row r="217" spans="8:8" x14ac:dyDescent="0.25">
      <c r="H217" t="s">
        <v>1064</v>
      </c>
    </row>
    <row r="218" spans="8:8" x14ac:dyDescent="0.25">
      <c r="H218" t="s">
        <v>1065</v>
      </c>
    </row>
    <row r="219" spans="8:8" x14ac:dyDescent="0.25">
      <c r="H219" t="s">
        <v>1066</v>
      </c>
    </row>
    <row r="220" spans="8:8" x14ac:dyDescent="0.25">
      <c r="H220" t="s">
        <v>1067</v>
      </c>
    </row>
    <row r="222" spans="8:8" x14ac:dyDescent="0.25">
      <c r="H222" t="s">
        <v>553</v>
      </c>
    </row>
    <row r="223" spans="8:8" x14ac:dyDescent="0.25">
      <c r="H223" t="s">
        <v>554</v>
      </c>
    </row>
    <row r="224" spans="8:8" x14ac:dyDescent="0.25">
      <c r="H224" t="s">
        <v>555</v>
      </c>
    </row>
    <row r="225" spans="8:8" x14ac:dyDescent="0.25">
      <c r="H225" t="s">
        <v>556</v>
      </c>
    </row>
    <row r="226" spans="8:8" x14ac:dyDescent="0.25">
      <c r="H226" t="s">
        <v>1271</v>
      </c>
    </row>
    <row r="227" spans="8:8" x14ac:dyDescent="0.25">
      <c r="H227" t="s">
        <v>557</v>
      </c>
    </row>
    <row r="228" spans="8:8" x14ac:dyDescent="0.25">
      <c r="H228" t="s">
        <v>558</v>
      </c>
    </row>
    <row r="229" spans="8:8" x14ac:dyDescent="0.25">
      <c r="H229" t="s">
        <v>559</v>
      </c>
    </row>
    <row r="230" spans="8:8" x14ac:dyDescent="0.25">
      <c r="H230" t="s">
        <v>1272</v>
      </c>
    </row>
    <row r="231" spans="8:8" x14ac:dyDescent="0.25">
      <c r="H231" t="s">
        <v>560</v>
      </c>
    </row>
    <row r="232" spans="8:8" x14ac:dyDescent="0.25">
      <c r="H232" t="s">
        <v>561</v>
      </c>
    </row>
    <row r="233" spans="8:8" x14ac:dyDescent="0.25">
      <c r="H233" t="s">
        <v>562</v>
      </c>
    </row>
    <row r="234" spans="8:8" x14ac:dyDescent="0.25">
      <c r="H234" t="s">
        <v>1273</v>
      </c>
    </row>
    <row r="235" spans="8:8" x14ac:dyDescent="0.25">
      <c r="H235" t="s">
        <v>563</v>
      </c>
    </row>
    <row r="236" spans="8:8" x14ac:dyDescent="0.25">
      <c r="H236" t="s">
        <v>564</v>
      </c>
    </row>
    <row r="238" spans="8:8" x14ac:dyDescent="0.25">
      <c r="H238" t="s">
        <v>565</v>
      </c>
    </row>
    <row r="239" spans="8:8" x14ac:dyDescent="0.25">
      <c r="H239" t="s">
        <v>566</v>
      </c>
    </row>
    <row r="240" spans="8:8" x14ac:dyDescent="0.25">
      <c r="H240" t="s">
        <v>567</v>
      </c>
    </row>
    <row r="241" spans="8:8" x14ac:dyDescent="0.25">
      <c r="H241" t="s">
        <v>568</v>
      </c>
    </row>
    <row r="242" spans="8:8" x14ac:dyDescent="0.25">
      <c r="H242" t="s">
        <v>1274</v>
      </c>
    </row>
    <row r="243" spans="8:8" x14ac:dyDescent="0.25">
      <c r="H243" t="s">
        <v>569</v>
      </c>
    </row>
    <row r="244" spans="8:8" x14ac:dyDescent="0.25">
      <c r="H244" t="s">
        <v>570</v>
      </c>
    </row>
    <row r="245" spans="8:8" x14ac:dyDescent="0.25">
      <c r="H245" t="s">
        <v>571</v>
      </c>
    </row>
    <row r="246" spans="8:8" x14ac:dyDescent="0.25">
      <c r="H246" t="s">
        <v>1275</v>
      </c>
    </row>
    <row r="247" spans="8:8" x14ac:dyDescent="0.25">
      <c r="H247" t="s">
        <v>572</v>
      </c>
    </row>
    <row r="248" spans="8:8" x14ac:dyDescent="0.25">
      <c r="H248" t="s">
        <v>573</v>
      </c>
    </row>
    <row r="249" spans="8:8" x14ac:dyDescent="0.25">
      <c r="H249" t="s">
        <v>574</v>
      </c>
    </row>
    <row r="250" spans="8:8" x14ac:dyDescent="0.25">
      <c r="H250" t="s">
        <v>1276</v>
      </c>
    </row>
    <row r="251" spans="8:8" x14ac:dyDescent="0.25">
      <c r="H251" t="s">
        <v>575</v>
      </c>
    </row>
    <row r="252" spans="8:8" x14ac:dyDescent="0.25">
      <c r="H252" t="s">
        <v>576</v>
      </c>
    </row>
    <row r="254" spans="8:8" x14ac:dyDescent="0.25">
      <c r="H254" t="s">
        <v>108</v>
      </c>
    </row>
    <row r="256" spans="8:8" x14ac:dyDescent="0.25">
      <c r="H256" t="s">
        <v>109</v>
      </c>
    </row>
    <row r="257" spans="8:8" x14ac:dyDescent="0.25">
      <c r="H257" t="s">
        <v>591</v>
      </c>
    </row>
    <row r="258" spans="8:8" x14ac:dyDescent="0.25">
      <c r="H258" t="s">
        <v>595</v>
      </c>
    </row>
    <row r="259" spans="8:8" x14ac:dyDescent="0.25">
      <c r="H259" t="s">
        <v>592</v>
      </c>
    </row>
    <row r="260" spans="8:8" x14ac:dyDescent="0.25">
      <c r="H260" t="s">
        <v>593</v>
      </c>
    </row>
    <row r="261" spans="8:8" x14ac:dyDescent="0.25">
      <c r="H261" t="s">
        <v>594</v>
      </c>
    </row>
    <row r="262" spans="8:8" x14ac:dyDescent="0.25">
      <c r="H262" t="s">
        <v>1068</v>
      </c>
    </row>
    <row r="263" spans="8:8" x14ac:dyDescent="0.25">
      <c r="H263" t="s">
        <v>1069</v>
      </c>
    </row>
    <row r="264" spans="8:8" x14ac:dyDescent="0.25">
      <c r="H264" t="s">
        <v>596</v>
      </c>
    </row>
    <row r="265" spans="8:8" x14ac:dyDescent="0.25">
      <c r="H265" t="s">
        <v>1070</v>
      </c>
    </row>
    <row r="266" spans="8:8" x14ac:dyDescent="0.25">
      <c r="H266" t="s">
        <v>1938</v>
      </c>
    </row>
    <row r="267" spans="8:8" x14ac:dyDescent="0.25">
      <c r="H267" t="s">
        <v>1788</v>
      </c>
    </row>
    <row r="268" spans="8:8" x14ac:dyDescent="0.25">
      <c r="H268" t="s">
        <v>1789</v>
      </c>
    </row>
    <row r="269" spans="8:8" x14ac:dyDescent="0.25">
      <c r="H269" t="s">
        <v>1389</v>
      </c>
    </row>
    <row r="270" spans="8:8" x14ac:dyDescent="0.25">
      <c r="H270" t="s">
        <v>1390</v>
      </c>
    </row>
    <row r="271" spans="8:8" x14ac:dyDescent="0.25">
      <c r="H271" t="s">
        <v>1391</v>
      </c>
    </row>
    <row r="272" spans="8:8" x14ac:dyDescent="0.25">
      <c r="H272" t="s">
        <v>1647</v>
      </c>
    </row>
    <row r="273" spans="8:8" x14ac:dyDescent="0.25">
      <c r="H273" t="s">
        <v>597</v>
      </c>
    </row>
    <row r="275" spans="8:8" x14ac:dyDescent="0.25">
      <c r="H275" t="s">
        <v>110</v>
      </c>
    </row>
    <row r="276" spans="8:8" x14ac:dyDescent="0.25">
      <c r="H276" t="s">
        <v>598</v>
      </c>
    </row>
    <row r="277" spans="8:8" x14ac:dyDescent="0.25">
      <c r="H277" t="s">
        <v>599</v>
      </c>
    </row>
    <row r="278" spans="8:8" x14ac:dyDescent="0.25">
      <c r="H278" t="s">
        <v>1071</v>
      </c>
    </row>
    <row r="279" spans="8:8" x14ac:dyDescent="0.25">
      <c r="H279" t="s">
        <v>600</v>
      </c>
    </row>
    <row r="280" spans="8:8" x14ac:dyDescent="0.25">
      <c r="H280" t="s">
        <v>1072</v>
      </c>
    </row>
    <row r="281" spans="8:8" x14ac:dyDescent="0.25">
      <c r="H281" t="s">
        <v>1790</v>
      </c>
    </row>
    <row r="282" spans="8:8" x14ac:dyDescent="0.25">
      <c r="H282" t="s">
        <v>1791</v>
      </c>
    </row>
    <row r="283" spans="8:8" x14ac:dyDescent="0.25">
      <c r="H283" t="s">
        <v>603</v>
      </c>
    </row>
    <row r="284" spans="8:8" x14ac:dyDescent="0.25">
      <c r="H284" t="s">
        <v>1226</v>
      </c>
    </row>
    <row r="285" spans="8:8" x14ac:dyDescent="0.25">
      <c r="H285" t="s">
        <v>601</v>
      </c>
    </row>
    <row r="286" spans="8:8" x14ac:dyDescent="0.25">
      <c r="H286" t="s">
        <v>602</v>
      </c>
    </row>
    <row r="287" spans="8:8" x14ac:dyDescent="0.25">
      <c r="H287" t="s">
        <v>604</v>
      </c>
    </row>
    <row r="288" spans="8:8" x14ac:dyDescent="0.25">
      <c r="H288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9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486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638</v>
      </c>
    </row>
    <row r="9" spans="2:9" x14ac:dyDescent="0.25">
      <c r="B9" t="s">
        <v>487</v>
      </c>
      <c r="H9" t="s">
        <v>606</v>
      </c>
    </row>
    <row r="10" spans="2:9" x14ac:dyDescent="0.25">
      <c r="H10" t="s">
        <v>639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640</v>
      </c>
    </row>
    <row r="15" spans="2:9" x14ac:dyDescent="0.25">
      <c r="B15" t="s">
        <v>16</v>
      </c>
      <c r="H15" t="s">
        <v>606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488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642</v>
      </c>
    </row>
    <row r="21" spans="2:8" x14ac:dyDescent="0.25">
      <c r="B21" t="s">
        <v>489</v>
      </c>
      <c r="H21" t="s">
        <v>606</v>
      </c>
    </row>
    <row r="22" spans="2:8" x14ac:dyDescent="0.25">
      <c r="H22" t="s">
        <v>643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645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607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609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611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613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615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617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618</v>
      </c>
    </row>
    <row r="69" spans="8:8" x14ac:dyDescent="0.25">
      <c r="H69" t="s">
        <v>606</v>
      </c>
    </row>
    <row r="70" spans="8:8" x14ac:dyDescent="0.25">
      <c r="H70" t="s">
        <v>619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620</v>
      </c>
    </row>
    <row r="75" spans="8:8" x14ac:dyDescent="0.25">
      <c r="H75" t="s">
        <v>606</v>
      </c>
    </row>
    <row r="76" spans="8:8" x14ac:dyDescent="0.25">
      <c r="H76" t="s">
        <v>621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622</v>
      </c>
    </row>
    <row r="81" spans="8:8" x14ac:dyDescent="0.25">
      <c r="H81" t="s">
        <v>606</v>
      </c>
    </row>
    <row r="82" spans="8:8" x14ac:dyDescent="0.25">
      <c r="H82" t="s">
        <v>623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624</v>
      </c>
    </row>
    <row r="87" spans="8:8" x14ac:dyDescent="0.25">
      <c r="H87" t="s">
        <v>606</v>
      </c>
    </row>
    <row r="88" spans="8:8" x14ac:dyDescent="0.25">
      <c r="H88" t="s">
        <v>625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626</v>
      </c>
    </row>
    <row r="93" spans="8:8" x14ac:dyDescent="0.25">
      <c r="H93" t="s">
        <v>606</v>
      </c>
    </row>
    <row r="94" spans="8:8" x14ac:dyDescent="0.25">
      <c r="H94" t="s">
        <v>627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628</v>
      </c>
    </row>
    <row r="99" spans="8:8" x14ac:dyDescent="0.25">
      <c r="H99" t="s">
        <v>606</v>
      </c>
    </row>
    <row r="100" spans="8:8" x14ac:dyDescent="0.25">
      <c r="H100" t="s">
        <v>629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630</v>
      </c>
    </row>
    <row r="105" spans="8:8" x14ac:dyDescent="0.25">
      <c r="H105" t="s">
        <v>606</v>
      </c>
    </row>
    <row r="106" spans="8:8" x14ac:dyDescent="0.25">
      <c r="H106" t="s">
        <v>631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632</v>
      </c>
    </row>
    <row r="111" spans="8:8" x14ac:dyDescent="0.25">
      <c r="H111" t="s">
        <v>606</v>
      </c>
    </row>
    <row r="112" spans="8:8" x14ac:dyDescent="0.25">
      <c r="H112" t="s">
        <v>633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634</v>
      </c>
    </row>
    <row r="117" spans="8:8" x14ac:dyDescent="0.25">
      <c r="H117" t="s">
        <v>606</v>
      </c>
    </row>
    <row r="118" spans="8:8" x14ac:dyDescent="0.25">
      <c r="H118" t="s">
        <v>635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636</v>
      </c>
    </row>
    <row r="123" spans="8:8" x14ac:dyDescent="0.25">
      <c r="H123" t="s">
        <v>606</v>
      </c>
    </row>
    <row r="124" spans="8:8" x14ac:dyDescent="0.25">
      <c r="H124" t="s">
        <v>637</v>
      </c>
    </row>
    <row r="125" spans="8:8" x14ac:dyDescent="0.25">
      <c r="H125" t="s">
        <v>31</v>
      </c>
    </row>
    <row r="127" spans="8:8" x14ac:dyDescent="0.25">
      <c r="H127" t="s">
        <v>149</v>
      </c>
    </row>
    <row r="128" spans="8:8" x14ac:dyDescent="0.25">
      <c r="H128" t="s">
        <v>1227</v>
      </c>
    </row>
    <row r="129" spans="8:8" x14ac:dyDescent="0.25">
      <c r="H129" t="s">
        <v>606</v>
      </c>
    </row>
    <row r="130" spans="8:8" x14ac:dyDescent="0.25">
      <c r="H130" t="s">
        <v>1228</v>
      </c>
    </row>
    <row r="131" spans="8:8" x14ac:dyDescent="0.25">
      <c r="H131" t="s">
        <v>31</v>
      </c>
    </row>
    <row r="133" spans="8:8" x14ac:dyDescent="0.25">
      <c r="H133" t="s">
        <v>150</v>
      </c>
    </row>
    <row r="134" spans="8:8" x14ac:dyDescent="0.25">
      <c r="H134" t="s">
        <v>1229</v>
      </c>
    </row>
    <row r="135" spans="8:8" x14ac:dyDescent="0.25">
      <c r="H135" t="s">
        <v>606</v>
      </c>
    </row>
    <row r="136" spans="8:8" x14ac:dyDescent="0.25">
      <c r="H136" t="s">
        <v>1230</v>
      </c>
    </row>
    <row r="137" spans="8:8" x14ac:dyDescent="0.25">
      <c r="H137" t="s">
        <v>31</v>
      </c>
    </row>
    <row r="139" spans="8:8" x14ac:dyDescent="0.25">
      <c r="H139" t="s">
        <v>151</v>
      </c>
    </row>
    <row r="140" spans="8:8" x14ac:dyDescent="0.25">
      <c r="H140" t="s">
        <v>1231</v>
      </c>
    </row>
    <row r="141" spans="8:8" x14ac:dyDescent="0.25">
      <c r="H141" t="s">
        <v>606</v>
      </c>
    </row>
    <row r="142" spans="8:8" x14ac:dyDescent="0.25">
      <c r="H142" t="s">
        <v>1232</v>
      </c>
    </row>
    <row r="143" spans="8:8" x14ac:dyDescent="0.25">
      <c r="H143" t="s">
        <v>31</v>
      </c>
    </row>
    <row r="145" spans="8:8" x14ac:dyDescent="0.25">
      <c r="H145" t="s">
        <v>152</v>
      </c>
    </row>
    <row r="146" spans="8:8" x14ac:dyDescent="0.25">
      <c r="H146" t="s">
        <v>1233</v>
      </c>
    </row>
    <row r="147" spans="8:8" x14ac:dyDescent="0.25">
      <c r="H147" t="s">
        <v>606</v>
      </c>
    </row>
    <row r="148" spans="8:8" x14ac:dyDescent="0.25">
      <c r="H148" t="s">
        <v>1234</v>
      </c>
    </row>
    <row r="149" spans="8:8" x14ac:dyDescent="0.25">
      <c r="H149" t="s">
        <v>31</v>
      </c>
    </row>
    <row r="151" spans="8:8" x14ac:dyDescent="0.25">
      <c r="H151" t="s">
        <v>153</v>
      </c>
    </row>
    <row r="152" spans="8:8" x14ac:dyDescent="0.25">
      <c r="H152" t="s">
        <v>1235</v>
      </c>
    </row>
    <row r="153" spans="8:8" x14ac:dyDescent="0.25">
      <c r="H153" t="s">
        <v>606</v>
      </c>
    </row>
    <row r="154" spans="8:8" x14ac:dyDescent="0.25">
      <c r="H154" t="s">
        <v>1236</v>
      </c>
    </row>
    <row r="155" spans="8:8" x14ac:dyDescent="0.25">
      <c r="H155" t="s">
        <v>31</v>
      </c>
    </row>
    <row r="157" spans="8:8" x14ac:dyDescent="0.25">
      <c r="H157" t="s">
        <v>154</v>
      </c>
    </row>
    <row r="158" spans="8:8" x14ac:dyDescent="0.25">
      <c r="H158" t="s">
        <v>1237</v>
      </c>
    </row>
    <row r="159" spans="8:8" x14ac:dyDescent="0.25">
      <c r="H159" t="s">
        <v>606</v>
      </c>
    </row>
    <row r="160" spans="8:8" x14ac:dyDescent="0.25">
      <c r="H160" t="s">
        <v>1238</v>
      </c>
    </row>
    <row r="161" spans="8:8" x14ac:dyDescent="0.25">
      <c r="H161" t="s">
        <v>31</v>
      </c>
    </row>
    <row r="163" spans="8:8" x14ac:dyDescent="0.25">
      <c r="H163" t="s">
        <v>155</v>
      </c>
    </row>
    <row r="164" spans="8:8" x14ac:dyDescent="0.25">
      <c r="H164" t="s">
        <v>646</v>
      </c>
    </row>
    <row r="165" spans="8:8" x14ac:dyDescent="0.25">
      <c r="H165" t="s">
        <v>606</v>
      </c>
    </row>
    <row r="166" spans="8:8" x14ac:dyDescent="0.25">
      <c r="H166" t="s">
        <v>647</v>
      </c>
    </row>
    <row r="167" spans="8:8" x14ac:dyDescent="0.25">
      <c r="H167" t="s">
        <v>31</v>
      </c>
    </row>
    <row r="168" spans="8:8" x14ac:dyDescent="0.25">
      <c r="H168" t="s">
        <v>648</v>
      </c>
    </row>
    <row r="169" spans="8:8" x14ac:dyDescent="0.25">
      <c r="H169" t="s">
        <v>649</v>
      </c>
    </row>
    <row r="170" spans="8:8" x14ac:dyDescent="0.25">
      <c r="H170" t="s">
        <v>31</v>
      </c>
    </row>
    <row r="171" spans="8:8" x14ac:dyDescent="0.25">
      <c r="H171" t="s">
        <v>650</v>
      </c>
    </row>
    <row r="172" spans="8:8" x14ac:dyDescent="0.25">
      <c r="H172" t="s">
        <v>651</v>
      </c>
    </row>
    <row r="173" spans="8:8" x14ac:dyDescent="0.25">
      <c r="H173" t="s">
        <v>652</v>
      </c>
    </row>
    <row r="174" spans="8:8" x14ac:dyDescent="0.25">
      <c r="H174" t="s">
        <v>31</v>
      </c>
    </row>
    <row r="175" spans="8:8" x14ac:dyDescent="0.25">
      <c r="H175" t="s">
        <v>653</v>
      </c>
    </row>
    <row r="176" spans="8:8" x14ac:dyDescent="0.25">
      <c r="H176" t="s">
        <v>654</v>
      </c>
    </row>
    <row r="177" spans="8:8" x14ac:dyDescent="0.25">
      <c r="H177" t="s">
        <v>655</v>
      </c>
    </row>
    <row r="178" spans="8:8" x14ac:dyDescent="0.25">
      <c r="H178" t="s">
        <v>31</v>
      </c>
    </row>
    <row r="180" spans="8:8" x14ac:dyDescent="0.25">
      <c r="H180" t="s">
        <v>156</v>
      </c>
    </row>
    <row r="181" spans="8:8" x14ac:dyDescent="0.25">
      <c r="H181" t="s">
        <v>656</v>
      </c>
    </row>
    <row r="182" spans="8:8" x14ac:dyDescent="0.25">
      <c r="H182" t="s">
        <v>606</v>
      </c>
    </row>
    <row r="183" spans="8:8" x14ac:dyDescent="0.25">
      <c r="H183" t="s">
        <v>657</v>
      </c>
    </row>
    <row r="184" spans="8:8" x14ac:dyDescent="0.25">
      <c r="H184" t="s">
        <v>31</v>
      </c>
    </row>
    <row r="185" spans="8:8" x14ac:dyDescent="0.25">
      <c r="H185" t="s">
        <v>658</v>
      </c>
    </row>
    <row r="186" spans="8:8" x14ac:dyDescent="0.25">
      <c r="H186" t="s">
        <v>651</v>
      </c>
    </row>
    <row r="187" spans="8:8" x14ac:dyDescent="0.25">
      <c r="H187" t="s">
        <v>659</v>
      </c>
    </row>
    <row r="188" spans="8:8" x14ac:dyDescent="0.25">
      <c r="H188" t="s">
        <v>31</v>
      </c>
    </row>
    <row r="189" spans="8:8" x14ac:dyDescent="0.25">
      <c r="H189" t="s">
        <v>654</v>
      </c>
    </row>
    <row r="190" spans="8:8" x14ac:dyDescent="0.25">
      <c r="H190" t="s">
        <v>660</v>
      </c>
    </row>
    <row r="191" spans="8:8" x14ac:dyDescent="0.25">
      <c r="H191" t="s">
        <v>31</v>
      </c>
    </row>
    <row r="193" spans="8:8" x14ac:dyDescent="0.25">
      <c r="H193" t="s">
        <v>157</v>
      </c>
    </row>
    <row r="194" spans="8:8" x14ac:dyDescent="0.25">
      <c r="H194" t="s">
        <v>661</v>
      </c>
    </row>
    <row r="195" spans="8:8" x14ac:dyDescent="0.25">
      <c r="H195" t="s">
        <v>606</v>
      </c>
    </row>
    <row r="196" spans="8:8" x14ac:dyDescent="0.25">
      <c r="H196" t="s">
        <v>662</v>
      </c>
    </row>
    <row r="197" spans="8:8" x14ac:dyDescent="0.25">
      <c r="H197" t="s">
        <v>31</v>
      </c>
    </row>
    <row r="198" spans="8:8" x14ac:dyDescent="0.25">
      <c r="H198" t="s">
        <v>648</v>
      </c>
    </row>
    <row r="199" spans="8:8" x14ac:dyDescent="0.25">
      <c r="H199" t="s">
        <v>663</v>
      </c>
    </row>
    <row r="200" spans="8:8" x14ac:dyDescent="0.25">
      <c r="H200" t="s">
        <v>31</v>
      </c>
    </row>
    <row r="201" spans="8:8" x14ac:dyDescent="0.25">
      <c r="H201" t="s">
        <v>664</v>
      </c>
    </row>
    <row r="202" spans="8:8" x14ac:dyDescent="0.25">
      <c r="H202" t="s">
        <v>651</v>
      </c>
    </row>
    <row r="203" spans="8:8" x14ac:dyDescent="0.25">
      <c r="H203" t="s">
        <v>665</v>
      </c>
    </row>
    <row r="204" spans="8:8" x14ac:dyDescent="0.25">
      <c r="H204" t="s">
        <v>31</v>
      </c>
    </row>
    <row r="205" spans="8:8" x14ac:dyDescent="0.25">
      <c r="H205" t="s">
        <v>654</v>
      </c>
    </row>
    <row r="206" spans="8:8" x14ac:dyDescent="0.25">
      <c r="H206" t="s">
        <v>666</v>
      </c>
    </row>
    <row r="207" spans="8:8" x14ac:dyDescent="0.25">
      <c r="H207" t="s">
        <v>31</v>
      </c>
    </row>
    <row r="209" spans="8:8" x14ac:dyDescent="0.25">
      <c r="H209" t="s">
        <v>158</v>
      </c>
    </row>
    <row r="210" spans="8:8" x14ac:dyDescent="0.25">
      <c r="H210" t="s">
        <v>667</v>
      </c>
    </row>
    <row r="211" spans="8:8" x14ac:dyDescent="0.25">
      <c r="H211" t="s">
        <v>606</v>
      </c>
    </row>
    <row r="212" spans="8:8" x14ac:dyDescent="0.25">
      <c r="H212" t="s">
        <v>668</v>
      </c>
    </row>
    <row r="213" spans="8:8" x14ac:dyDescent="0.25">
      <c r="H213" t="s">
        <v>31</v>
      </c>
    </row>
    <row r="215" spans="8:8" x14ac:dyDescent="0.25">
      <c r="H215" t="s">
        <v>159</v>
      </c>
    </row>
    <row r="216" spans="8:8" x14ac:dyDescent="0.25">
      <c r="H216" t="s">
        <v>669</v>
      </c>
    </row>
    <row r="217" spans="8:8" x14ac:dyDescent="0.25">
      <c r="H217" t="s">
        <v>606</v>
      </c>
    </row>
    <row r="218" spans="8:8" x14ac:dyDescent="0.25">
      <c r="H218" t="s">
        <v>670</v>
      </c>
    </row>
    <row r="219" spans="8:8" x14ac:dyDescent="0.25">
      <c r="H219" t="s">
        <v>31</v>
      </c>
    </row>
    <row r="221" spans="8:8" x14ac:dyDescent="0.25">
      <c r="H221" t="s">
        <v>160</v>
      </c>
    </row>
    <row r="222" spans="8:8" x14ac:dyDescent="0.25">
      <c r="H222" t="s">
        <v>671</v>
      </c>
    </row>
    <row r="223" spans="8:8" x14ac:dyDescent="0.25">
      <c r="H223" t="s">
        <v>606</v>
      </c>
    </row>
    <row r="224" spans="8:8" x14ac:dyDescent="0.25">
      <c r="H224" t="s">
        <v>672</v>
      </c>
    </row>
    <row r="225" spans="8:8" x14ac:dyDescent="0.25">
      <c r="H225" t="s">
        <v>31</v>
      </c>
    </row>
    <row r="227" spans="8:8" x14ac:dyDescent="0.25">
      <c r="H227" t="s">
        <v>161</v>
      </c>
    </row>
    <row r="228" spans="8:8" x14ac:dyDescent="0.25">
      <c r="H228" t="s">
        <v>673</v>
      </c>
    </row>
    <row r="229" spans="8:8" x14ac:dyDescent="0.25">
      <c r="H229" t="s">
        <v>606</v>
      </c>
    </row>
    <row r="230" spans="8:8" x14ac:dyDescent="0.25">
      <c r="H230" t="s">
        <v>674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648</v>
      </c>
    </row>
    <row r="234" spans="8:8" x14ac:dyDescent="0.25">
      <c r="H234" t="s">
        <v>676</v>
      </c>
    </row>
    <row r="235" spans="8:8" x14ac:dyDescent="0.25">
      <c r="H235" t="s">
        <v>31</v>
      </c>
    </row>
    <row r="236" spans="8:8" x14ac:dyDescent="0.25">
      <c r="H236" t="s">
        <v>677</v>
      </c>
    </row>
    <row r="237" spans="8:8" x14ac:dyDescent="0.25">
      <c r="H237" t="s">
        <v>651</v>
      </c>
    </row>
    <row r="238" spans="8:8" x14ac:dyDescent="0.25">
      <c r="H238" t="s">
        <v>678</v>
      </c>
    </row>
    <row r="239" spans="8:8" x14ac:dyDescent="0.25">
      <c r="H239" t="s">
        <v>31</v>
      </c>
    </row>
    <row r="241" spans="8:8" x14ac:dyDescent="0.25">
      <c r="H241" t="s">
        <v>162</v>
      </c>
    </row>
    <row r="242" spans="8:8" x14ac:dyDescent="0.25">
      <c r="H242" t="s">
        <v>679</v>
      </c>
    </row>
    <row r="243" spans="8:8" x14ac:dyDescent="0.25">
      <c r="H243" t="s">
        <v>606</v>
      </c>
    </row>
    <row r="244" spans="8:8" x14ac:dyDescent="0.25">
      <c r="H244" t="s">
        <v>680</v>
      </c>
    </row>
    <row r="245" spans="8:8" x14ac:dyDescent="0.25">
      <c r="H245" t="s">
        <v>31</v>
      </c>
    </row>
    <row r="246" spans="8:8" x14ac:dyDescent="0.25">
      <c r="H246" t="s">
        <v>648</v>
      </c>
    </row>
    <row r="247" spans="8:8" x14ac:dyDescent="0.25">
      <c r="H247" t="s">
        <v>681</v>
      </c>
    </row>
    <row r="248" spans="8:8" x14ac:dyDescent="0.25">
      <c r="H248" t="s">
        <v>31</v>
      </c>
    </row>
    <row r="249" spans="8:8" x14ac:dyDescent="0.25">
      <c r="H249" t="s">
        <v>682</v>
      </c>
    </row>
    <row r="250" spans="8:8" x14ac:dyDescent="0.25">
      <c r="H250" t="s">
        <v>651</v>
      </c>
    </row>
    <row r="251" spans="8:8" x14ac:dyDescent="0.25">
      <c r="H251" t="s">
        <v>683</v>
      </c>
    </row>
    <row r="252" spans="8:8" x14ac:dyDescent="0.25">
      <c r="H252" t="s">
        <v>31</v>
      </c>
    </row>
    <row r="253" spans="8:8" x14ac:dyDescent="0.25">
      <c r="H253" t="s">
        <v>654</v>
      </c>
    </row>
    <row r="254" spans="8:8" x14ac:dyDescent="0.25">
      <c r="H254" t="s">
        <v>684</v>
      </c>
    </row>
    <row r="255" spans="8:8" x14ac:dyDescent="0.25">
      <c r="H255" t="s">
        <v>31</v>
      </c>
    </row>
    <row r="257" spans="8:8" x14ac:dyDescent="0.25">
      <c r="H257" t="s">
        <v>163</v>
      </c>
    </row>
    <row r="258" spans="8:8" x14ac:dyDescent="0.25">
      <c r="H258" t="s">
        <v>685</v>
      </c>
    </row>
    <row r="259" spans="8:8" x14ac:dyDescent="0.25">
      <c r="H259" t="s">
        <v>606</v>
      </c>
    </row>
    <row r="260" spans="8:8" x14ac:dyDescent="0.25">
      <c r="H260" t="s">
        <v>686</v>
      </c>
    </row>
    <row r="261" spans="8:8" x14ac:dyDescent="0.25">
      <c r="H261" t="s">
        <v>31</v>
      </c>
    </row>
    <row r="262" spans="8:8" x14ac:dyDescent="0.25">
      <c r="H262" t="s">
        <v>648</v>
      </c>
    </row>
    <row r="263" spans="8:8" x14ac:dyDescent="0.25">
      <c r="H263" t="s">
        <v>687</v>
      </c>
    </row>
    <row r="264" spans="8:8" x14ac:dyDescent="0.25">
      <c r="H264" t="s">
        <v>31</v>
      </c>
    </row>
    <row r="266" spans="8:8" x14ac:dyDescent="0.25">
      <c r="H266" t="s">
        <v>164</v>
      </c>
    </row>
    <row r="267" spans="8:8" x14ac:dyDescent="0.25">
      <c r="H267" t="s">
        <v>688</v>
      </c>
    </row>
    <row r="268" spans="8:8" x14ac:dyDescent="0.25">
      <c r="H268" t="s">
        <v>606</v>
      </c>
    </row>
    <row r="269" spans="8:8" x14ac:dyDescent="0.25">
      <c r="H269" t="s">
        <v>689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690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691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692</v>
      </c>
    </row>
    <row r="279" spans="8:8" x14ac:dyDescent="0.25">
      <c r="H279" t="s">
        <v>31</v>
      </c>
    </row>
    <row r="281" spans="8:8" x14ac:dyDescent="0.25">
      <c r="H281" t="s">
        <v>165</v>
      </c>
    </row>
    <row r="282" spans="8:8" x14ac:dyDescent="0.25">
      <c r="H282" t="s">
        <v>693</v>
      </c>
    </row>
    <row r="283" spans="8:8" x14ac:dyDescent="0.25">
      <c r="H283" t="s">
        <v>606</v>
      </c>
    </row>
    <row r="284" spans="8:8" x14ac:dyDescent="0.25">
      <c r="H284" t="s">
        <v>694</v>
      </c>
    </row>
    <row r="285" spans="8:8" x14ac:dyDescent="0.25">
      <c r="H285" t="s">
        <v>31</v>
      </c>
    </row>
    <row r="287" spans="8:8" x14ac:dyDescent="0.25">
      <c r="H287" t="s">
        <v>166</v>
      </c>
    </row>
    <row r="288" spans="8:8" x14ac:dyDescent="0.25">
      <c r="H288" t="s">
        <v>695</v>
      </c>
    </row>
    <row r="289" spans="8:8" x14ac:dyDescent="0.25">
      <c r="H289" t="s">
        <v>606</v>
      </c>
    </row>
    <row r="290" spans="8:8" x14ac:dyDescent="0.25">
      <c r="H290" t="s">
        <v>696</v>
      </c>
    </row>
    <row r="291" spans="8:8" x14ac:dyDescent="0.25">
      <c r="H291" t="s">
        <v>31</v>
      </c>
    </row>
    <row r="293" spans="8:8" x14ac:dyDescent="0.25">
      <c r="H293" t="s">
        <v>167</v>
      </c>
    </row>
    <row r="294" spans="8:8" x14ac:dyDescent="0.25">
      <c r="H294" t="s">
        <v>697</v>
      </c>
    </row>
    <row r="295" spans="8:8" x14ac:dyDescent="0.25">
      <c r="H295" t="s">
        <v>606</v>
      </c>
    </row>
    <row r="296" spans="8:8" x14ac:dyDescent="0.25">
      <c r="H296" t="s">
        <v>698</v>
      </c>
    </row>
    <row r="297" spans="8:8" x14ac:dyDescent="0.25">
      <c r="H297" t="s">
        <v>31</v>
      </c>
    </row>
    <row r="299" spans="8:8" x14ac:dyDescent="0.25">
      <c r="H299" t="s">
        <v>168</v>
      </c>
    </row>
    <row r="300" spans="8:8" x14ac:dyDescent="0.25">
      <c r="H300" t="s">
        <v>1073</v>
      </c>
    </row>
    <row r="301" spans="8:8" x14ac:dyDescent="0.25">
      <c r="H301" t="s">
        <v>606</v>
      </c>
    </row>
    <row r="302" spans="8:8" x14ac:dyDescent="0.25">
      <c r="H302" t="s">
        <v>1074</v>
      </c>
    </row>
    <row r="303" spans="8:8" x14ac:dyDescent="0.25">
      <c r="H303" t="s">
        <v>31</v>
      </c>
    </row>
    <row r="304" spans="8:8" x14ac:dyDescent="0.25">
      <c r="H304" t="s">
        <v>1075</v>
      </c>
    </row>
    <row r="305" spans="8:8" x14ac:dyDescent="0.25">
      <c r="H305" t="s">
        <v>648</v>
      </c>
    </row>
    <row r="306" spans="8:8" x14ac:dyDescent="0.25">
      <c r="H306" t="s">
        <v>1076</v>
      </c>
    </row>
    <row r="307" spans="8:8" x14ac:dyDescent="0.25">
      <c r="H307" t="s">
        <v>31</v>
      </c>
    </row>
    <row r="308" spans="8:8" x14ac:dyDescent="0.25">
      <c r="H308" t="s">
        <v>1077</v>
      </c>
    </row>
    <row r="309" spans="8:8" x14ac:dyDescent="0.25">
      <c r="H309" t="s">
        <v>651</v>
      </c>
    </row>
    <row r="310" spans="8:8" x14ac:dyDescent="0.25">
      <c r="H310" t="s">
        <v>1078</v>
      </c>
    </row>
    <row r="311" spans="8:8" x14ac:dyDescent="0.25">
      <c r="H311" t="s">
        <v>31</v>
      </c>
    </row>
    <row r="313" spans="8:8" x14ac:dyDescent="0.25">
      <c r="H313" t="s">
        <v>169</v>
      </c>
    </row>
    <row r="314" spans="8:8" x14ac:dyDescent="0.25">
      <c r="H314" t="s">
        <v>1079</v>
      </c>
    </row>
    <row r="315" spans="8:8" x14ac:dyDescent="0.25">
      <c r="H315" t="s">
        <v>606</v>
      </c>
    </row>
    <row r="316" spans="8:8" x14ac:dyDescent="0.25">
      <c r="H316" t="s">
        <v>1080</v>
      </c>
    </row>
    <row r="317" spans="8:8" x14ac:dyDescent="0.25">
      <c r="H317" t="s">
        <v>31</v>
      </c>
    </row>
    <row r="318" spans="8:8" x14ac:dyDescent="0.25">
      <c r="H318" t="s">
        <v>648</v>
      </c>
    </row>
    <row r="319" spans="8:8" x14ac:dyDescent="0.25">
      <c r="H319" t="s">
        <v>1081</v>
      </c>
    </row>
    <row r="320" spans="8:8" x14ac:dyDescent="0.25">
      <c r="H320" t="s">
        <v>31</v>
      </c>
    </row>
    <row r="321" spans="8:8" x14ac:dyDescent="0.25">
      <c r="H321" t="s">
        <v>1082</v>
      </c>
    </row>
    <row r="322" spans="8:8" x14ac:dyDescent="0.25">
      <c r="H322" t="s">
        <v>651</v>
      </c>
    </row>
    <row r="323" spans="8:8" x14ac:dyDescent="0.25">
      <c r="H323" t="s">
        <v>1083</v>
      </c>
    </row>
    <row r="324" spans="8:8" x14ac:dyDescent="0.25">
      <c r="H324" t="s">
        <v>31</v>
      </c>
    </row>
    <row r="325" spans="8:8" x14ac:dyDescent="0.25">
      <c r="H325" t="s">
        <v>654</v>
      </c>
    </row>
    <row r="326" spans="8:8" x14ac:dyDescent="0.25">
      <c r="H326" t="s">
        <v>1084</v>
      </c>
    </row>
    <row r="327" spans="8:8" x14ac:dyDescent="0.25">
      <c r="H327" t="s">
        <v>31</v>
      </c>
    </row>
    <row r="329" spans="8:8" x14ac:dyDescent="0.25">
      <c r="H329" t="s">
        <v>170</v>
      </c>
    </row>
    <row r="330" spans="8:8" x14ac:dyDescent="0.25">
      <c r="H330" t="s">
        <v>1085</v>
      </c>
    </row>
    <row r="331" spans="8:8" x14ac:dyDescent="0.25">
      <c r="H331" t="s">
        <v>606</v>
      </c>
    </row>
    <row r="332" spans="8:8" x14ac:dyDescent="0.25">
      <c r="H332" t="s">
        <v>1086</v>
      </c>
    </row>
    <row r="333" spans="8:8" x14ac:dyDescent="0.25">
      <c r="H333" t="s">
        <v>31</v>
      </c>
    </row>
    <row r="334" spans="8:8" x14ac:dyDescent="0.25">
      <c r="H334" t="s">
        <v>648</v>
      </c>
    </row>
    <row r="335" spans="8:8" x14ac:dyDescent="0.25">
      <c r="H335" t="s">
        <v>1087</v>
      </c>
    </row>
    <row r="336" spans="8:8" x14ac:dyDescent="0.25">
      <c r="H336" t="s">
        <v>31</v>
      </c>
    </row>
    <row r="338" spans="8:8" x14ac:dyDescent="0.25">
      <c r="H338" t="s">
        <v>171</v>
      </c>
    </row>
    <row r="339" spans="8:8" x14ac:dyDescent="0.25">
      <c r="H339" t="s">
        <v>1088</v>
      </c>
    </row>
    <row r="340" spans="8:8" x14ac:dyDescent="0.25">
      <c r="H340" t="s">
        <v>606</v>
      </c>
    </row>
    <row r="341" spans="8:8" x14ac:dyDescent="0.25">
      <c r="H341" t="s">
        <v>1089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1090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1091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1092</v>
      </c>
    </row>
    <row r="351" spans="8:8" x14ac:dyDescent="0.25">
      <c r="H351" t="s">
        <v>31</v>
      </c>
    </row>
    <row r="353" spans="8:8" x14ac:dyDescent="0.25">
      <c r="H353" t="s">
        <v>172</v>
      </c>
    </row>
    <row r="354" spans="8:8" x14ac:dyDescent="0.25">
      <c r="H354" t="s">
        <v>1093</v>
      </c>
    </row>
    <row r="355" spans="8:8" x14ac:dyDescent="0.25">
      <c r="H355" t="s">
        <v>606</v>
      </c>
    </row>
    <row r="356" spans="8:8" x14ac:dyDescent="0.25">
      <c r="H356" t="s">
        <v>1094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1095</v>
      </c>
    </row>
    <row r="360" spans="8:8" x14ac:dyDescent="0.25">
      <c r="H360" t="s">
        <v>31</v>
      </c>
    </row>
    <row r="362" spans="8:8" x14ac:dyDescent="0.25">
      <c r="H362" t="s">
        <v>173</v>
      </c>
    </row>
    <row r="363" spans="8:8" x14ac:dyDescent="0.25">
      <c r="H363" t="s">
        <v>1096</v>
      </c>
    </row>
    <row r="364" spans="8:8" x14ac:dyDescent="0.25">
      <c r="H364" t="s">
        <v>606</v>
      </c>
    </row>
    <row r="365" spans="8:8" x14ac:dyDescent="0.25">
      <c r="H365" t="s">
        <v>1097</v>
      </c>
    </row>
    <row r="366" spans="8:8" x14ac:dyDescent="0.25">
      <c r="H366" t="s">
        <v>31</v>
      </c>
    </row>
    <row r="368" spans="8:8" x14ac:dyDescent="0.25">
      <c r="H368" t="s">
        <v>174</v>
      </c>
    </row>
    <row r="369" spans="8:8" x14ac:dyDescent="0.25">
      <c r="H369" t="s">
        <v>1098</v>
      </c>
    </row>
    <row r="370" spans="8:8" x14ac:dyDescent="0.25">
      <c r="H370" t="s">
        <v>606</v>
      </c>
    </row>
    <row r="371" spans="8:8" x14ac:dyDescent="0.25">
      <c r="H371" t="s">
        <v>1099</v>
      </c>
    </row>
    <row r="372" spans="8:8" x14ac:dyDescent="0.25">
      <c r="H372" t="s">
        <v>31</v>
      </c>
    </row>
    <row r="374" spans="8:8" x14ac:dyDescent="0.25">
      <c r="H374" t="s">
        <v>175</v>
      </c>
    </row>
    <row r="375" spans="8:8" x14ac:dyDescent="0.25">
      <c r="H375" t="s">
        <v>1100</v>
      </c>
    </row>
    <row r="376" spans="8:8" x14ac:dyDescent="0.25">
      <c r="H376" t="s">
        <v>606</v>
      </c>
    </row>
    <row r="377" spans="8:8" x14ac:dyDescent="0.25">
      <c r="H377" t="s">
        <v>1101</v>
      </c>
    </row>
    <row r="378" spans="8:8" x14ac:dyDescent="0.25">
      <c r="H378" t="s">
        <v>31</v>
      </c>
    </row>
    <row r="380" spans="8:8" x14ac:dyDescent="0.25">
      <c r="H380" t="s">
        <v>176</v>
      </c>
    </row>
    <row r="381" spans="8:8" x14ac:dyDescent="0.25">
      <c r="H381" t="s">
        <v>1102</v>
      </c>
    </row>
    <row r="382" spans="8:8" x14ac:dyDescent="0.25">
      <c r="H382" t="s">
        <v>606</v>
      </c>
    </row>
    <row r="383" spans="8:8" x14ac:dyDescent="0.25">
      <c r="H383" t="s">
        <v>1103</v>
      </c>
    </row>
    <row r="384" spans="8:8" x14ac:dyDescent="0.25">
      <c r="H384" t="s">
        <v>31</v>
      </c>
    </row>
    <row r="386" spans="8:8" x14ac:dyDescent="0.25">
      <c r="H386" t="s">
        <v>177</v>
      </c>
    </row>
    <row r="387" spans="8:8" x14ac:dyDescent="0.25">
      <c r="H387" t="s">
        <v>1104</v>
      </c>
    </row>
    <row r="388" spans="8:8" x14ac:dyDescent="0.25">
      <c r="H388" t="s">
        <v>606</v>
      </c>
    </row>
    <row r="389" spans="8:8" x14ac:dyDescent="0.25">
      <c r="H389" t="s">
        <v>1105</v>
      </c>
    </row>
    <row r="390" spans="8:8" x14ac:dyDescent="0.25">
      <c r="H390" t="s">
        <v>31</v>
      </c>
    </row>
    <row r="392" spans="8:8" x14ac:dyDescent="0.25">
      <c r="H392" t="s">
        <v>178</v>
      </c>
    </row>
    <row r="393" spans="8:8" x14ac:dyDescent="0.25">
      <c r="H393" t="s">
        <v>1939</v>
      </c>
    </row>
    <row r="394" spans="8:8" x14ac:dyDescent="0.25">
      <c r="H394" t="s">
        <v>606</v>
      </c>
    </row>
    <row r="395" spans="8:8" x14ac:dyDescent="0.25">
      <c r="H395" t="s">
        <v>1940</v>
      </c>
    </row>
    <row r="396" spans="8:8" x14ac:dyDescent="0.25">
      <c r="H396" t="s">
        <v>31</v>
      </c>
    </row>
    <row r="397" spans="8:8" x14ac:dyDescent="0.25">
      <c r="H397" t="s">
        <v>648</v>
      </c>
    </row>
    <row r="398" spans="8:8" x14ac:dyDescent="0.25">
      <c r="H398" t="s">
        <v>1941</v>
      </c>
    </row>
    <row r="399" spans="8:8" x14ac:dyDescent="0.25">
      <c r="H399" t="s">
        <v>31</v>
      </c>
    </row>
    <row r="400" spans="8:8" x14ac:dyDescent="0.25">
      <c r="H400" t="s">
        <v>1942</v>
      </c>
    </row>
    <row r="401" spans="8:8" x14ac:dyDescent="0.25">
      <c r="H401" t="s">
        <v>651</v>
      </c>
    </row>
    <row r="402" spans="8:8" x14ac:dyDescent="0.25">
      <c r="H402" t="s">
        <v>1943</v>
      </c>
    </row>
    <row r="403" spans="8:8" x14ac:dyDescent="0.25">
      <c r="H403" t="s">
        <v>31</v>
      </c>
    </row>
    <row r="404" spans="8:8" x14ac:dyDescent="0.25">
      <c r="H404" t="s">
        <v>654</v>
      </c>
    </row>
    <row r="405" spans="8:8" x14ac:dyDescent="0.25">
      <c r="H405" t="s">
        <v>1944</v>
      </c>
    </row>
    <row r="406" spans="8:8" x14ac:dyDescent="0.25">
      <c r="H406" t="s">
        <v>31</v>
      </c>
    </row>
    <row r="408" spans="8:8" x14ac:dyDescent="0.25">
      <c r="H408" t="s">
        <v>179</v>
      </c>
    </row>
    <row r="409" spans="8:8" x14ac:dyDescent="0.25">
      <c r="H409" t="s">
        <v>1792</v>
      </c>
    </row>
    <row r="410" spans="8:8" x14ac:dyDescent="0.25">
      <c r="H410" t="s">
        <v>606</v>
      </c>
    </row>
    <row r="411" spans="8:8" x14ac:dyDescent="0.25">
      <c r="H411" t="s">
        <v>1793</v>
      </c>
    </row>
    <row r="412" spans="8:8" x14ac:dyDescent="0.25">
      <c r="H412" t="s">
        <v>31</v>
      </c>
    </row>
    <row r="413" spans="8:8" x14ac:dyDescent="0.25">
      <c r="H413" t="s">
        <v>648</v>
      </c>
    </row>
    <row r="414" spans="8:8" x14ac:dyDescent="0.25">
      <c r="H414" t="s">
        <v>1794</v>
      </c>
    </row>
    <row r="415" spans="8:8" x14ac:dyDescent="0.25">
      <c r="H415" t="s">
        <v>31</v>
      </c>
    </row>
    <row r="416" spans="8:8" x14ac:dyDescent="0.25">
      <c r="H416" t="s">
        <v>651</v>
      </c>
    </row>
    <row r="417" spans="8:8" x14ac:dyDescent="0.25">
      <c r="H417" t="s">
        <v>1795</v>
      </c>
    </row>
    <row r="418" spans="8:8" x14ac:dyDescent="0.25">
      <c r="H418" t="s">
        <v>31</v>
      </c>
    </row>
    <row r="419" spans="8:8" x14ac:dyDescent="0.25">
      <c r="H419" t="s">
        <v>654</v>
      </c>
    </row>
    <row r="420" spans="8:8" x14ac:dyDescent="0.25">
      <c r="H420" t="s">
        <v>1796</v>
      </c>
    </row>
    <row r="421" spans="8:8" x14ac:dyDescent="0.25">
      <c r="H421" t="s">
        <v>31</v>
      </c>
    </row>
    <row r="423" spans="8:8" x14ac:dyDescent="0.25">
      <c r="H423" t="s">
        <v>180</v>
      </c>
    </row>
    <row r="424" spans="8:8" x14ac:dyDescent="0.25">
      <c r="H424" t="s">
        <v>1797</v>
      </c>
    </row>
    <row r="425" spans="8:8" x14ac:dyDescent="0.25">
      <c r="H425" t="s">
        <v>606</v>
      </c>
    </row>
    <row r="426" spans="8:8" x14ac:dyDescent="0.25">
      <c r="H426" t="s">
        <v>1798</v>
      </c>
    </row>
    <row r="427" spans="8:8" x14ac:dyDescent="0.25">
      <c r="H427" t="s">
        <v>31</v>
      </c>
    </row>
    <row r="428" spans="8:8" x14ac:dyDescent="0.25">
      <c r="H428" t="s">
        <v>648</v>
      </c>
    </row>
    <row r="429" spans="8:8" x14ac:dyDescent="0.25">
      <c r="H429" t="s">
        <v>1799</v>
      </c>
    </row>
    <row r="430" spans="8:8" x14ac:dyDescent="0.25">
      <c r="H430" t="s">
        <v>31</v>
      </c>
    </row>
    <row r="431" spans="8:8" x14ac:dyDescent="0.25">
      <c r="H431" t="s">
        <v>651</v>
      </c>
    </row>
    <row r="432" spans="8:8" x14ac:dyDescent="0.25">
      <c r="H432" t="s">
        <v>1800</v>
      </c>
    </row>
    <row r="433" spans="8:8" x14ac:dyDescent="0.25">
      <c r="H433" t="s">
        <v>31</v>
      </c>
    </row>
    <row r="434" spans="8:8" x14ac:dyDescent="0.25">
      <c r="H434" t="s">
        <v>654</v>
      </c>
    </row>
    <row r="435" spans="8:8" x14ac:dyDescent="0.25">
      <c r="H435" t="s">
        <v>1801</v>
      </c>
    </row>
    <row r="436" spans="8:8" x14ac:dyDescent="0.25">
      <c r="H436" t="s">
        <v>31</v>
      </c>
    </row>
    <row r="438" spans="8:8" x14ac:dyDescent="0.25">
      <c r="H438" t="s">
        <v>181</v>
      </c>
    </row>
    <row r="439" spans="8:8" x14ac:dyDescent="0.25">
      <c r="H439" t="s">
        <v>1802</v>
      </c>
    </row>
    <row r="440" spans="8:8" x14ac:dyDescent="0.25">
      <c r="H440" t="s">
        <v>606</v>
      </c>
    </row>
    <row r="441" spans="8:8" x14ac:dyDescent="0.25">
      <c r="H441" t="s">
        <v>1803</v>
      </c>
    </row>
    <row r="442" spans="8:8" x14ac:dyDescent="0.25">
      <c r="H442" t="s">
        <v>31</v>
      </c>
    </row>
    <row r="443" spans="8:8" x14ac:dyDescent="0.25">
      <c r="H443" t="s">
        <v>648</v>
      </c>
    </row>
    <row r="444" spans="8:8" x14ac:dyDescent="0.25">
      <c r="H444" t="s">
        <v>1804</v>
      </c>
    </row>
    <row r="445" spans="8:8" x14ac:dyDescent="0.25">
      <c r="H445" t="s">
        <v>31</v>
      </c>
    </row>
    <row r="446" spans="8:8" x14ac:dyDescent="0.25">
      <c r="H446" t="s">
        <v>651</v>
      </c>
    </row>
    <row r="447" spans="8:8" x14ac:dyDescent="0.25">
      <c r="H447" t="s">
        <v>1805</v>
      </c>
    </row>
    <row r="448" spans="8:8" x14ac:dyDescent="0.25">
      <c r="H448" t="s">
        <v>31</v>
      </c>
    </row>
    <row r="449" spans="8:8" x14ac:dyDescent="0.25">
      <c r="H449" t="s">
        <v>654</v>
      </c>
    </row>
    <row r="450" spans="8:8" x14ac:dyDescent="0.25">
      <c r="H450" t="s">
        <v>1806</v>
      </c>
    </row>
    <row r="451" spans="8:8" x14ac:dyDescent="0.25">
      <c r="H451" t="s">
        <v>31</v>
      </c>
    </row>
    <row r="453" spans="8:8" x14ac:dyDescent="0.25">
      <c r="H453" t="s">
        <v>182</v>
      </c>
    </row>
    <row r="454" spans="8:8" x14ac:dyDescent="0.25">
      <c r="H454" t="s">
        <v>1807</v>
      </c>
    </row>
    <row r="455" spans="8:8" x14ac:dyDescent="0.25">
      <c r="H455" t="s">
        <v>606</v>
      </c>
    </row>
    <row r="456" spans="8:8" x14ac:dyDescent="0.25">
      <c r="H456" t="s">
        <v>1808</v>
      </c>
    </row>
    <row r="457" spans="8:8" x14ac:dyDescent="0.25">
      <c r="H457" t="s">
        <v>31</v>
      </c>
    </row>
    <row r="459" spans="8:8" x14ac:dyDescent="0.25">
      <c r="H459" t="s">
        <v>183</v>
      </c>
    </row>
    <row r="460" spans="8:8" x14ac:dyDescent="0.25">
      <c r="H460" t="s">
        <v>1809</v>
      </c>
    </row>
    <row r="461" spans="8:8" x14ac:dyDescent="0.25">
      <c r="H461" t="s">
        <v>606</v>
      </c>
    </row>
    <row r="462" spans="8:8" x14ac:dyDescent="0.25">
      <c r="H462" t="s">
        <v>1810</v>
      </c>
    </row>
    <row r="463" spans="8:8" x14ac:dyDescent="0.25">
      <c r="H463" t="s">
        <v>31</v>
      </c>
    </row>
    <row r="465" spans="8:8" x14ac:dyDescent="0.25">
      <c r="H465" t="s">
        <v>184</v>
      </c>
    </row>
    <row r="466" spans="8:8" x14ac:dyDescent="0.25">
      <c r="H466" t="s">
        <v>1811</v>
      </c>
    </row>
    <row r="467" spans="8:8" x14ac:dyDescent="0.25">
      <c r="H467" t="s">
        <v>606</v>
      </c>
    </row>
    <row r="468" spans="8:8" x14ac:dyDescent="0.25">
      <c r="H468" t="s">
        <v>1812</v>
      </c>
    </row>
    <row r="469" spans="8:8" x14ac:dyDescent="0.25">
      <c r="H469" t="s">
        <v>31</v>
      </c>
    </row>
    <row r="471" spans="8:8" x14ac:dyDescent="0.25">
      <c r="H471" t="s">
        <v>185</v>
      </c>
    </row>
    <row r="472" spans="8:8" x14ac:dyDescent="0.25">
      <c r="H472" t="s">
        <v>1813</v>
      </c>
    </row>
    <row r="473" spans="8:8" x14ac:dyDescent="0.25">
      <c r="H473" t="s">
        <v>606</v>
      </c>
    </row>
    <row r="474" spans="8:8" x14ac:dyDescent="0.25">
      <c r="H474" t="s">
        <v>1814</v>
      </c>
    </row>
    <row r="475" spans="8:8" x14ac:dyDescent="0.25">
      <c r="H475" t="s">
        <v>31</v>
      </c>
    </row>
    <row r="476" spans="8:8" x14ac:dyDescent="0.25">
      <c r="H476" t="s">
        <v>648</v>
      </c>
    </row>
    <row r="477" spans="8:8" x14ac:dyDescent="0.25">
      <c r="H477" t="s">
        <v>1815</v>
      </c>
    </row>
    <row r="478" spans="8:8" x14ac:dyDescent="0.25">
      <c r="H478" t="s">
        <v>31</v>
      </c>
    </row>
    <row r="479" spans="8:8" x14ac:dyDescent="0.25">
      <c r="H479" t="s">
        <v>651</v>
      </c>
    </row>
    <row r="480" spans="8:8" x14ac:dyDescent="0.25">
      <c r="H480" t="s">
        <v>1816</v>
      </c>
    </row>
    <row r="481" spans="8:8" x14ac:dyDescent="0.25">
      <c r="H481" t="s">
        <v>31</v>
      </c>
    </row>
    <row r="482" spans="8:8" x14ac:dyDescent="0.25">
      <c r="H482" t="s">
        <v>654</v>
      </c>
    </row>
    <row r="483" spans="8:8" x14ac:dyDescent="0.25">
      <c r="H483" t="s">
        <v>1817</v>
      </c>
    </row>
    <row r="484" spans="8:8" x14ac:dyDescent="0.25">
      <c r="H484" t="s">
        <v>31</v>
      </c>
    </row>
    <row r="486" spans="8:8" x14ac:dyDescent="0.25">
      <c r="H486" t="s">
        <v>186</v>
      </c>
    </row>
    <row r="487" spans="8:8" x14ac:dyDescent="0.25">
      <c r="H487" t="s">
        <v>1818</v>
      </c>
    </row>
    <row r="488" spans="8:8" x14ac:dyDescent="0.25">
      <c r="H488" t="s">
        <v>606</v>
      </c>
    </row>
    <row r="489" spans="8:8" x14ac:dyDescent="0.25">
      <c r="H489" t="s">
        <v>1819</v>
      </c>
    </row>
    <row r="490" spans="8:8" x14ac:dyDescent="0.25">
      <c r="H490" t="s">
        <v>31</v>
      </c>
    </row>
    <row r="491" spans="8:8" x14ac:dyDescent="0.25">
      <c r="H491" t="s">
        <v>648</v>
      </c>
    </row>
    <row r="492" spans="8:8" x14ac:dyDescent="0.25">
      <c r="H492" t="s">
        <v>1820</v>
      </c>
    </row>
    <row r="493" spans="8:8" x14ac:dyDescent="0.25">
      <c r="H493" t="s">
        <v>31</v>
      </c>
    </row>
    <row r="494" spans="8:8" x14ac:dyDescent="0.25">
      <c r="H494" t="s">
        <v>651</v>
      </c>
    </row>
    <row r="495" spans="8:8" x14ac:dyDescent="0.25">
      <c r="H495" t="s">
        <v>1821</v>
      </c>
    </row>
    <row r="496" spans="8:8" x14ac:dyDescent="0.25">
      <c r="H496" t="s">
        <v>31</v>
      </c>
    </row>
    <row r="497" spans="8:8" x14ac:dyDescent="0.25">
      <c r="H497" t="s">
        <v>654</v>
      </c>
    </row>
    <row r="498" spans="8:8" x14ac:dyDescent="0.25">
      <c r="H498" t="s">
        <v>1822</v>
      </c>
    </row>
    <row r="499" spans="8:8" x14ac:dyDescent="0.25">
      <c r="H499" t="s">
        <v>31</v>
      </c>
    </row>
    <row r="501" spans="8:8" x14ac:dyDescent="0.25">
      <c r="H501" t="s">
        <v>187</v>
      </c>
    </row>
    <row r="502" spans="8:8" x14ac:dyDescent="0.25">
      <c r="H502" t="s">
        <v>1823</v>
      </c>
    </row>
    <row r="503" spans="8:8" x14ac:dyDescent="0.25">
      <c r="H503" t="s">
        <v>606</v>
      </c>
    </row>
    <row r="504" spans="8:8" x14ac:dyDescent="0.25">
      <c r="H504" t="s">
        <v>1824</v>
      </c>
    </row>
    <row r="505" spans="8:8" x14ac:dyDescent="0.25">
      <c r="H505" t="s">
        <v>31</v>
      </c>
    </row>
    <row r="506" spans="8:8" x14ac:dyDescent="0.25">
      <c r="H506" t="s">
        <v>648</v>
      </c>
    </row>
    <row r="507" spans="8:8" x14ac:dyDescent="0.25">
      <c r="H507" t="s">
        <v>1825</v>
      </c>
    </row>
    <row r="508" spans="8:8" x14ac:dyDescent="0.25">
      <c r="H508" t="s">
        <v>31</v>
      </c>
    </row>
    <row r="509" spans="8:8" x14ac:dyDescent="0.25">
      <c r="H509" t="s">
        <v>651</v>
      </c>
    </row>
    <row r="510" spans="8:8" x14ac:dyDescent="0.25">
      <c r="H510" t="s">
        <v>1826</v>
      </c>
    </row>
    <row r="511" spans="8:8" x14ac:dyDescent="0.25">
      <c r="H511" t="s">
        <v>31</v>
      </c>
    </row>
    <row r="512" spans="8:8" x14ac:dyDescent="0.25">
      <c r="H512" t="s">
        <v>654</v>
      </c>
    </row>
    <row r="513" spans="8:8" x14ac:dyDescent="0.25">
      <c r="H513" t="s">
        <v>1827</v>
      </c>
    </row>
    <row r="514" spans="8:8" x14ac:dyDescent="0.25">
      <c r="H514" t="s">
        <v>31</v>
      </c>
    </row>
    <row r="516" spans="8:8" x14ac:dyDescent="0.25">
      <c r="H516" t="s">
        <v>188</v>
      </c>
    </row>
    <row r="517" spans="8:8" x14ac:dyDescent="0.25">
      <c r="H517" t="s">
        <v>1828</v>
      </c>
    </row>
    <row r="518" spans="8:8" x14ac:dyDescent="0.25">
      <c r="H518" t="s">
        <v>606</v>
      </c>
    </row>
    <row r="519" spans="8:8" x14ac:dyDescent="0.25">
      <c r="H519" t="s">
        <v>1829</v>
      </c>
    </row>
    <row r="520" spans="8:8" x14ac:dyDescent="0.25">
      <c r="H520" t="s">
        <v>31</v>
      </c>
    </row>
    <row r="522" spans="8:8" x14ac:dyDescent="0.25">
      <c r="H522" t="s">
        <v>189</v>
      </c>
    </row>
    <row r="523" spans="8:8" x14ac:dyDescent="0.25">
      <c r="H523" t="s">
        <v>1830</v>
      </c>
    </row>
    <row r="524" spans="8:8" x14ac:dyDescent="0.25">
      <c r="H524" t="s">
        <v>606</v>
      </c>
    </row>
    <row r="525" spans="8:8" x14ac:dyDescent="0.25">
      <c r="H525" t="s">
        <v>1831</v>
      </c>
    </row>
    <row r="526" spans="8:8" x14ac:dyDescent="0.25">
      <c r="H526" t="s">
        <v>31</v>
      </c>
    </row>
    <row r="528" spans="8:8" x14ac:dyDescent="0.25">
      <c r="H528" t="s">
        <v>190</v>
      </c>
    </row>
    <row r="529" spans="8:8" x14ac:dyDescent="0.25">
      <c r="H529" t="s">
        <v>1832</v>
      </c>
    </row>
    <row r="530" spans="8:8" x14ac:dyDescent="0.25">
      <c r="H530" t="s">
        <v>606</v>
      </c>
    </row>
    <row r="531" spans="8:8" x14ac:dyDescent="0.25">
      <c r="H531" t="s">
        <v>1833</v>
      </c>
    </row>
    <row r="532" spans="8:8" x14ac:dyDescent="0.25">
      <c r="H532" t="s">
        <v>31</v>
      </c>
    </row>
    <row r="534" spans="8:8" x14ac:dyDescent="0.25">
      <c r="H534" t="s">
        <v>191</v>
      </c>
    </row>
    <row r="535" spans="8:8" x14ac:dyDescent="0.25">
      <c r="H535" t="s">
        <v>1392</v>
      </c>
    </row>
    <row r="536" spans="8:8" x14ac:dyDescent="0.25">
      <c r="H536" t="s">
        <v>606</v>
      </c>
    </row>
    <row r="537" spans="8:8" x14ac:dyDescent="0.25">
      <c r="H537" t="s">
        <v>1393</v>
      </c>
    </row>
    <row r="538" spans="8:8" x14ac:dyDescent="0.25">
      <c r="H538" t="s">
        <v>31</v>
      </c>
    </row>
    <row r="539" spans="8:8" x14ac:dyDescent="0.25">
      <c r="H539" t="s">
        <v>648</v>
      </c>
    </row>
    <row r="540" spans="8:8" x14ac:dyDescent="0.25">
      <c r="H540" t="s">
        <v>1394</v>
      </c>
    </row>
    <row r="541" spans="8:8" x14ac:dyDescent="0.25">
      <c r="H541" t="s">
        <v>31</v>
      </c>
    </row>
    <row r="542" spans="8:8" x14ac:dyDescent="0.25">
      <c r="H542" t="s">
        <v>651</v>
      </c>
    </row>
    <row r="543" spans="8:8" x14ac:dyDescent="0.25">
      <c r="H543" t="s">
        <v>1395</v>
      </c>
    </row>
    <row r="544" spans="8:8" x14ac:dyDescent="0.25">
      <c r="H544" t="s">
        <v>31</v>
      </c>
    </row>
    <row r="545" spans="8:8" x14ac:dyDescent="0.25">
      <c r="H545" t="s">
        <v>654</v>
      </c>
    </row>
    <row r="546" spans="8:8" x14ac:dyDescent="0.25">
      <c r="H546" t="s">
        <v>1396</v>
      </c>
    </row>
    <row r="547" spans="8:8" x14ac:dyDescent="0.25">
      <c r="H547" t="s">
        <v>31</v>
      </c>
    </row>
    <row r="549" spans="8:8" x14ac:dyDescent="0.25">
      <c r="H549" t="s">
        <v>192</v>
      </c>
    </row>
    <row r="550" spans="8:8" x14ac:dyDescent="0.25">
      <c r="H550" t="s">
        <v>1397</v>
      </c>
    </row>
    <row r="551" spans="8:8" x14ac:dyDescent="0.25">
      <c r="H551" t="s">
        <v>606</v>
      </c>
    </row>
    <row r="552" spans="8:8" x14ac:dyDescent="0.25">
      <c r="H552" t="s">
        <v>1398</v>
      </c>
    </row>
    <row r="553" spans="8:8" x14ac:dyDescent="0.25">
      <c r="H553" t="s">
        <v>31</v>
      </c>
    </row>
    <row r="554" spans="8:8" x14ac:dyDescent="0.25">
      <c r="H554" t="s">
        <v>648</v>
      </c>
    </row>
    <row r="555" spans="8:8" x14ac:dyDescent="0.25">
      <c r="H555" t="s">
        <v>1399</v>
      </c>
    </row>
    <row r="556" spans="8:8" x14ac:dyDescent="0.25">
      <c r="H556" t="s">
        <v>31</v>
      </c>
    </row>
    <row r="557" spans="8:8" x14ac:dyDescent="0.25">
      <c r="H557" t="s">
        <v>651</v>
      </c>
    </row>
    <row r="558" spans="8:8" x14ac:dyDescent="0.25">
      <c r="H558" t="s">
        <v>1400</v>
      </c>
    </row>
    <row r="559" spans="8:8" x14ac:dyDescent="0.25">
      <c r="H559" t="s">
        <v>31</v>
      </c>
    </row>
    <row r="560" spans="8:8" x14ac:dyDescent="0.25">
      <c r="H560" t="s">
        <v>654</v>
      </c>
    </row>
    <row r="561" spans="8:8" x14ac:dyDescent="0.25">
      <c r="H561" t="s">
        <v>1401</v>
      </c>
    </row>
    <row r="562" spans="8:8" x14ac:dyDescent="0.25">
      <c r="H562" t="s">
        <v>31</v>
      </c>
    </row>
    <row r="564" spans="8:8" x14ac:dyDescent="0.25">
      <c r="H564" t="s">
        <v>193</v>
      </c>
    </row>
    <row r="565" spans="8:8" x14ac:dyDescent="0.25">
      <c r="H565" t="s">
        <v>1402</v>
      </c>
    </row>
    <row r="566" spans="8:8" x14ac:dyDescent="0.25">
      <c r="H566" t="s">
        <v>606</v>
      </c>
    </row>
    <row r="567" spans="8:8" x14ac:dyDescent="0.25">
      <c r="H567" t="s">
        <v>1403</v>
      </c>
    </row>
    <row r="568" spans="8:8" x14ac:dyDescent="0.25">
      <c r="H568" t="s">
        <v>31</v>
      </c>
    </row>
    <row r="569" spans="8:8" x14ac:dyDescent="0.25">
      <c r="H569" t="s">
        <v>648</v>
      </c>
    </row>
    <row r="570" spans="8:8" x14ac:dyDescent="0.25">
      <c r="H570" t="s">
        <v>1404</v>
      </c>
    </row>
    <row r="571" spans="8:8" x14ac:dyDescent="0.25">
      <c r="H571" t="s">
        <v>31</v>
      </c>
    </row>
    <row r="573" spans="8:8" x14ac:dyDescent="0.25">
      <c r="H573" t="s">
        <v>194</v>
      </c>
    </row>
    <row r="574" spans="8:8" x14ac:dyDescent="0.25">
      <c r="H574" t="s">
        <v>1405</v>
      </c>
    </row>
    <row r="575" spans="8:8" x14ac:dyDescent="0.25">
      <c r="H575" t="s">
        <v>606</v>
      </c>
    </row>
    <row r="576" spans="8:8" x14ac:dyDescent="0.25">
      <c r="H576" t="s">
        <v>1406</v>
      </c>
    </row>
    <row r="577" spans="8:8" x14ac:dyDescent="0.25">
      <c r="H577" t="s">
        <v>31</v>
      </c>
    </row>
    <row r="579" spans="8:8" x14ac:dyDescent="0.25">
      <c r="H579" t="s">
        <v>195</v>
      </c>
    </row>
    <row r="580" spans="8:8" x14ac:dyDescent="0.25">
      <c r="H580" t="s">
        <v>1407</v>
      </c>
    </row>
    <row r="581" spans="8:8" x14ac:dyDescent="0.25">
      <c r="H581" t="s">
        <v>606</v>
      </c>
    </row>
    <row r="582" spans="8:8" x14ac:dyDescent="0.25">
      <c r="H582" t="s">
        <v>1408</v>
      </c>
    </row>
    <row r="583" spans="8:8" x14ac:dyDescent="0.25">
      <c r="H583" t="s">
        <v>31</v>
      </c>
    </row>
    <row r="585" spans="8:8" x14ac:dyDescent="0.25">
      <c r="H585" t="s">
        <v>196</v>
      </c>
    </row>
    <row r="586" spans="8:8" x14ac:dyDescent="0.25">
      <c r="H586" t="s">
        <v>1409</v>
      </c>
    </row>
    <row r="587" spans="8:8" x14ac:dyDescent="0.25">
      <c r="H587" t="s">
        <v>606</v>
      </c>
    </row>
    <row r="588" spans="8:8" x14ac:dyDescent="0.25">
      <c r="H588" t="s">
        <v>1410</v>
      </c>
    </row>
    <row r="589" spans="8:8" x14ac:dyDescent="0.25">
      <c r="H589" t="s">
        <v>31</v>
      </c>
    </row>
    <row r="590" spans="8:8" x14ac:dyDescent="0.25">
      <c r="H590" t="s">
        <v>648</v>
      </c>
    </row>
    <row r="591" spans="8:8" x14ac:dyDescent="0.25">
      <c r="H591" t="s">
        <v>1411</v>
      </c>
    </row>
    <row r="592" spans="8:8" x14ac:dyDescent="0.25">
      <c r="H592" t="s">
        <v>31</v>
      </c>
    </row>
    <row r="594" spans="8:8" x14ac:dyDescent="0.25">
      <c r="H594" t="s">
        <v>197</v>
      </c>
    </row>
    <row r="595" spans="8:8" x14ac:dyDescent="0.25">
      <c r="H595" t="s">
        <v>1412</v>
      </c>
    </row>
    <row r="596" spans="8:8" x14ac:dyDescent="0.25">
      <c r="H596" t="s">
        <v>606</v>
      </c>
    </row>
    <row r="597" spans="8:8" x14ac:dyDescent="0.25">
      <c r="H597" t="s">
        <v>1413</v>
      </c>
    </row>
    <row r="598" spans="8:8" x14ac:dyDescent="0.25">
      <c r="H598" t="s">
        <v>31</v>
      </c>
    </row>
    <row r="599" spans="8:8" x14ac:dyDescent="0.25">
      <c r="H599" t="s">
        <v>648</v>
      </c>
    </row>
    <row r="600" spans="8:8" x14ac:dyDescent="0.25">
      <c r="H600" t="s">
        <v>1414</v>
      </c>
    </row>
    <row r="601" spans="8:8" x14ac:dyDescent="0.25">
      <c r="H601" t="s">
        <v>31</v>
      </c>
    </row>
    <row r="603" spans="8:8" x14ac:dyDescent="0.25">
      <c r="H603" t="s">
        <v>198</v>
      </c>
    </row>
    <row r="604" spans="8:8" x14ac:dyDescent="0.25">
      <c r="H604" t="s">
        <v>1415</v>
      </c>
    </row>
    <row r="605" spans="8:8" x14ac:dyDescent="0.25">
      <c r="H605" t="s">
        <v>606</v>
      </c>
    </row>
    <row r="606" spans="8:8" x14ac:dyDescent="0.25">
      <c r="H606" t="s">
        <v>1416</v>
      </c>
    </row>
    <row r="607" spans="8:8" x14ac:dyDescent="0.25">
      <c r="H607" t="s">
        <v>31</v>
      </c>
    </row>
    <row r="608" spans="8:8" x14ac:dyDescent="0.25">
      <c r="H608" t="s">
        <v>648</v>
      </c>
    </row>
    <row r="609" spans="8:8" x14ac:dyDescent="0.25">
      <c r="H609" t="s">
        <v>1417</v>
      </c>
    </row>
    <row r="610" spans="8:8" x14ac:dyDescent="0.25">
      <c r="H610" t="s">
        <v>31</v>
      </c>
    </row>
    <row r="611" spans="8:8" x14ac:dyDescent="0.25">
      <c r="H611" t="s">
        <v>651</v>
      </c>
    </row>
    <row r="612" spans="8:8" x14ac:dyDescent="0.25">
      <c r="H612" t="s">
        <v>1418</v>
      </c>
    </row>
    <row r="613" spans="8:8" x14ac:dyDescent="0.25">
      <c r="H613" t="s">
        <v>31</v>
      </c>
    </row>
    <row r="614" spans="8:8" x14ac:dyDescent="0.25">
      <c r="H614" t="s">
        <v>654</v>
      </c>
    </row>
    <row r="615" spans="8:8" x14ac:dyDescent="0.25">
      <c r="H615" t="s">
        <v>1419</v>
      </c>
    </row>
    <row r="616" spans="8:8" x14ac:dyDescent="0.25">
      <c r="H616" t="s">
        <v>31</v>
      </c>
    </row>
    <row r="618" spans="8:8" x14ac:dyDescent="0.25">
      <c r="H618" t="s">
        <v>199</v>
      </c>
    </row>
    <row r="619" spans="8:8" x14ac:dyDescent="0.25">
      <c r="H619" t="s">
        <v>1420</v>
      </c>
    </row>
    <row r="620" spans="8:8" x14ac:dyDescent="0.25">
      <c r="H620" t="s">
        <v>606</v>
      </c>
    </row>
    <row r="621" spans="8:8" x14ac:dyDescent="0.25">
      <c r="H621" t="s">
        <v>1421</v>
      </c>
    </row>
    <row r="622" spans="8:8" x14ac:dyDescent="0.25">
      <c r="H622" t="s">
        <v>31</v>
      </c>
    </row>
    <row r="623" spans="8:8" x14ac:dyDescent="0.25">
      <c r="H623" t="s">
        <v>648</v>
      </c>
    </row>
    <row r="624" spans="8:8" x14ac:dyDescent="0.25">
      <c r="H624" t="s">
        <v>1422</v>
      </c>
    </row>
    <row r="625" spans="8:8" x14ac:dyDescent="0.25">
      <c r="H625" t="s">
        <v>31</v>
      </c>
    </row>
    <row r="626" spans="8:8" x14ac:dyDescent="0.25">
      <c r="H626" t="s">
        <v>651</v>
      </c>
    </row>
    <row r="627" spans="8:8" x14ac:dyDescent="0.25">
      <c r="H627" t="s">
        <v>1423</v>
      </c>
    </row>
    <row r="628" spans="8:8" x14ac:dyDescent="0.25">
      <c r="H628" t="s">
        <v>31</v>
      </c>
    </row>
    <row r="629" spans="8:8" x14ac:dyDescent="0.25">
      <c r="H629" t="s">
        <v>654</v>
      </c>
    </row>
    <row r="630" spans="8:8" x14ac:dyDescent="0.25">
      <c r="H630" t="s">
        <v>1424</v>
      </c>
    </row>
    <row r="631" spans="8:8" x14ac:dyDescent="0.25">
      <c r="H631" t="s">
        <v>31</v>
      </c>
    </row>
    <row r="633" spans="8:8" x14ac:dyDescent="0.25">
      <c r="H633" t="s">
        <v>200</v>
      </c>
    </row>
    <row r="634" spans="8:8" x14ac:dyDescent="0.25">
      <c r="H634" t="s">
        <v>1425</v>
      </c>
    </row>
    <row r="635" spans="8:8" x14ac:dyDescent="0.25">
      <c r="H635" t="s">
        <v>606</v>
      </c>
    </row>
    <row r="636" spans="8:8" x14ac:dyDescent="0.25">
      <c r="H636" t="s">
        <v>1426</v>
      </c>
    </row>
    <row r="637" spans="8:8" x14ac:dyDescent="0.25">
      <c r="H637" t="s">
        <v>31</v>
      </c>
    </row>
    <row r="638" spans="8:8" x14ac:dyDescent="0.25">
      <c r="H638" t="s">
        <v>648</v>
      </c>
    </row>
    <row r="639" spans="8:8" x14ac:dyDescent="0.25">
      <c r="H639" t="s">
        <v>1427</v>
      </c>
    </row>
    <row r="640" spans="8:8" x14ac:dyDescent="0.25">
      <c r="H640" t="s">
        <v>31</v>
      </c>
    </row>
    <row r="642" spans="8:8" x14ac:dyDescent="0.25">
      <c r="H642" t="s">
        <v>201</v>
      </c>
    </row>
    <row r="643" spans="8:8" x14ac:dyDescent="0.25">
      <c r="H643" t="s">
        <v>1428</v>
      </c>
    </row>
    <row r="644" spans="8:8" x14ac:dyDescent="0.25">
      <c r="H644" t="s">
        <v>606</v>
      </c>
    </row>
    <row r="645" spans="8:8" x14ac:dyDescent="0.25">
      <c r="H645" t="s">
        <v>1429</v>
      </c>
    </row>
    <row r="646" spans="8:8" x14ac:dyDescent="0.25">
      <c r="H646" t="s">
        <v>31</v>
      </c>
    </row>
    <row r="648" spans="8:8" x14ac:dyDescent="0.25">
      <c r="H648" t="s">
        <v>202</v>
      </c>
    </row>
    <row r="649" spans="8:8" x14ac:dyDescent="0.25">
      <c r="H649" t="s">
        <v>1430</v>
      </c>
    </row>
    <row r="650" spans="8:8" x14ac:dyDescent="0.25">
      <c r="H650" t="s">
        <v>606</v>
      </c>
    </row>
    <row r="651" spans="8:8" x14ac:dyDescent="0.25">
      <c r="H651" t="s">
        <v>1431</v>
      </c>
    </row>
    <row r="652" spans="8:8" x14ac:dyDescent="0.25">
      <c r="H652" t="s">
        <v>31</v>
      </c>
    </row>
    <row r="654" spans="8:8" x14ac:dyDescent="0.25">
      <c r="H654" t="s">
        <v>203</v>
      </c>
    </row>
    <row r="655" spans="8:8" x14ac:dyDescent="0.25">
      <c r="H655" t="s">
        <v>1432</v>
      </c>
    </row>
    <row r="656" spans="8:8" x14ac:dyDescent="0.25">
      <c r="H656" t="s">
        <v>606</v>
      </c>
    </row>
    <row r="657" spans="8:8" x14ac:dyDescent="0.25">
      <c r="H657" t="s">
        <v>1433</v>
      </c>
    </row>
    <row r="658" spans="8:8" x14ac:dyDescent="0.25">
      <c r="H658" t="s">
        <v>31</v>
      </c>
    </row>
    <row r="659" spans="8:8" x14ac:dyDescent="0.25">
      <c r="H659" t="s">
        <v>648</v>
      </c>
    </row>
    <row r="660" spans="8:8" x14ac:dyDescent="0.25">
      <c r="H660" t="s">
        <v>1434</v>
      </c>
    </row>
    <row r="661" spans="8:8" x14ac:dyDescent="0.25">
      <c r="H661" t="s">
        <v>31</v>
      </c>
    </row>
    <row r="663" spans="8:8" x14ac:dyDescent="0.25">
      <c r="H663" t="s">
        <v>204</v>
      </c>
    </row>
    <row r="664" spans="8:8" x14ac:dyDescent="0.25">
      <c r="H664" t="s">
        <v>1435</v>
      </c>
    </row>
    <row r="665" spans="8:8" x14ac:dyDescent="0.25">
      <c r="H665" t="s">
        <v>606</v>
      </c>
    </row>
    <row r="666" spans="8:8" x14ac:dyDescent="0.25">
      <c r="H666" t="s">
        <v>1436</v>
      </c>
    </row>
    <row r="667" spans="8:8" x14ac:dyDescent="0.25">
      <c r="H667" t="s">
        <v>31</v>
      </c>
    </row>
    <row r="668" spans="8:8" x14ac:dyDescent="0.25">
      <c r="H668" t="s">
        <v>648</v>
      </c>
    </row>
    <row r="669" spans="8:8" x14ac:dyDescent="0.25">
      <c r="H669" t="s">
        <v>1437</v>
      </c>
    </row>
    <row r="670" spans="8:8" x14ac:dyDescent="0.25">
      <c r="H670" t="s">
        <v>31</v>
      </c>
    </row>
    <row r="672" spans="8:8" x14ac:dyDescent="0.25">
      <c r="H672" t="s">
        <v>205</v>
      </c>
    </row>
    <row r="673" spans="8:8" x14ac:dyDescent="0.25">
      <c r="H673" t="s">
        <v>1438</v>
      </c>
    </row>
    <row r="674" spans="8:8" x14ac:dyDescent="0.25">
      <c r="H674" t="s">
        <v>606</v>
      </c>
    </row>
    <row r="675" spans="8:8" x14ac:dyDescent="0.25">
      <c r="H675" t="s">
        <v>1439</v>
      </c>
    </row>
    <row r="676" spans="8:8" x14ac:dyDescent="0.25">
      <c r="H676" t="s">
        <v>31</v>
      </c>
    </row>
    <row r="677" spans="8:8" x14ac:dyDescent="0.25">
      <c r="H677" t="s">
        <v>648</v>
      </c>
    </row>
    <row r="678" spans="8:8" x14ac:dyDescent="0.25">
      <c r="H678" t="s">
        <v>1440</v>
      </c>
    </row>
    <row r="679" spans="8:8" x14ac:dyDescent="0.25">
      <c r="H679" t="s">
        <v>31</v>
      </c>
    </row>
    <row r="680" spans="8:8" x14ac:dyDescent="0.25">
      <c r="H680" t="s">
        <v>651</v>
      </c>
    </row>
    <row r="681" spans="8:8" x14ac:dyDescent="0.25">
      <c r="H681" t="s">
        <v>1441</v>
      </c>
    </row>
    <row r="682" spans="8:8" x14ac:dyDescent="0.25">
      <c r="H682" t="s">
        <v>31</v>
      </c>
    </row>
    <row r="683" spans="8:8" x14ac:dyDescent="0.25">
      <c r="H683" t="s">
        <v>654</v>
      </c>
    </row>
    <row r="684" spans="8:8" x14ac:dyDescent="0.25">
      <c r="H684" t="s">
        <v>1442</v>
      </c>
    </row>
    <row r="685" spans="8:8" x14ac:dyDescent="0.25">
      <c r="H685" t="s">
        <v>31</v>
      </c>
    </row>
    <row r="687" spans="8:8" x14ac:dyDescent="0.25">
      <c r="H687" t="s">
        <v>207</v>
      </c>
    </row>
    <row r="688" spans="8:8" x14ac:dyDescent="0.25">
      <c r="H688" t="s">
        <v>1443</v>
      </c>
    </row>
    <row r="689" spans="8:8" x14ac:dyDescent="0.25">
      <c r="H689" t="s">
        <v>606</v>
      </c>
    </row>
    <row r="690" spans="8:8" x14ac:dyDescent="0.25">
      <c r="H690" t="s">
        <v>1444</v>
      </c>
    </row>
    <row r="691" spans="8:8" x14ac:dyDescent="0.25">
      <c r="H691" t="s">
        <v>31</v>
      </c>
    </row>
    <row r="692" spans="8:8" x14ac:dyDescent="0.25">
      <c r="H692" t="s">
        <v>648</v>
      </c>
    </row>
    <row r="693" spans="8:8" x14ac:dyDescent="0.25">
      <c r="H693" t="s">
        <v>1445</v>
      </c>
    </row>
    <row r="694" spans="8:8" x14ac:dyDescent="0.25">
      <c r="H694" t="s">
        <v>31</v>
      </c>
    </row>
    <row r="695" spans="8:8" x14ac:dyDescent="0.25">
      <c r="H695" t="s">
        <v>651</v>
      </c>
    </row>
    <row r="696" spans="8:8" x14ac:dyDescent="0.25">
      <c r="H696" t="s">
        <v>1446</v>
      </c>
    </row>
    <row r="697" spans="8:8" x14ac:dyDescent="0.25">
      <c r="H697" t="s">
        <v>31</v>
      </c>
    </row>
    <row r="698" spans="8:8" x14ac:dyDescent="0.25">
      <c r="H698" t="s">
        <v>654</v>
      </c>
    </row>
    <row r="699" spans="8:8" x14ac:dyDescent="0.25">
      <c r="H699" t="s">
        <v>1447</v>
      </c>
    </row>
    <row r="700" spans="8:8" x14ac:dyDescent="0.25">
      <c r="H700" t="s">
        <v>31</v>
      </c>
    </row>
    <row r="702" spans="8:8" x14ac:dyDescent="0.25">
      <c r="H702" t="s">
        <v>208</v>
      </c>
    </row>
    <row r="703" spans="8:8" x14ac:dyDescent="0.25">
      <c r="H703" t="s">
        <v>1448</v>
      </c>
    </row>
    <row r="704" spans="8:8" x14ac:dyDescent="0.25">
      <c r="H704" t="s">
        <v>606</v>
      </c>
    </row>
    <row r="705" spans="8:8" x14ac:dyDescent="0.25">
      <c r="H705" t="s">
        <v>1449</v>
      </c>
    </row>
    <row r="706" spans="8:8" x14ac:dyDescent="0.25">
      <c r="H706" t="s">
        <v>31</v>
      </c>
    </row>
    <row r="707" spans="8:8" x14ac:dyDescent="0.25">
      <c r="H707" t="s">
        <v>648</v>
      </c>
    </row>
    <row r="708" spans="8:8" x14ac:dyDescent="0.25">
      <c r="H708" t="s">
        <v>1450</v>
      </c>
    </row>
    <row r="709" spans="8:8" x14ac:dyDescent="0.25">
      <c r="H709" t="s">
        <v>31</v>
      </c>
    </row>
    <row r="711" spans="8:8" x14ac:dyDescent="0.25">
      <c r="H711" t="s">
        <v>209</v>
      </c>
    </row>
    <row r="712" spans="8:8" x14ac:dyDescent="0.25">
      <c r="H712" t="s">
        <v>1451</v>
      </c>
    </row>
    <row r="713" spans="8:8" x14ac:dyDescent="0.25">
      <c r="H713" t="s">
        <v>606</v>
      </c>
    </row>
    <row r="714" spans="8:8" x14ac:dyDescent="0.25">
      <c r="H714" t="s">
        <v>1452</v>
      </c>
    </row>
    <row r="715" spans="8:8" x14ac:dyDescent="0.25">
      <c r="H715" t="s">
        <v>31</v>
      </c>
    </row>
    <row r="717" spans="8:8" x14ac:dyDescent="0.25">
      <c r="H717" t="s">
        <v>210</v>
      </c>
    </row>
    <row r="718" spans="8:8" x14ac:dyDescent="0.25">
      <c r="H718" t="s">
        <v>1453</v>
      </c>
    </row>
    <row r="719" spans="8:8" x14ac:dyDescent="0.25">
      <c r="H719" t="s">
        <v>606</v>
      </c>
    </row>
    <row r="720" spans="8:8" x14ac:dyDescent="0.25">
      <c r="H720" t="s">
        <v>1454</v>
      </c>
    </row>
    <row r="721" spans="8:8" x14ac:dyDescent="0.25">
      <c r="H721" t="s">
        <v>31</v>
      </c>
    </row>
    <row r="723" spans="8:8" x14ac:dyDescent="0.25">
      <c r="H723" t="s">
        <v>211</v>
      </c>
    </row>
    <row r="724" spans="8:8" x14ac:dyDescent="0.25">
      <c r="H724" t="s">
        <v>1455</v>
      </c>
    </row>
    <row r="725" spans="8:8" x14ac:dyDescent="0.25">
      <c r="H725" t="s">
        <v>606</v>
      </c>
    </row>
    <row r="726" spans="8:8" x14ac:dyDescent="0.25">
      <c r="H726" t="s">
        <v>1456</v>
      </c>
    </row>
    <row r="727" spans="8:8" x14ac:dyDescent="0.25">
      <c r="H727" t="s">
        <v>31</v>
      </c>
    </row>
    <row r="728" spans="8:8" x14ac:dyDescent="0.25">
      <c r="H728" t="s">
        <v>648</v>
      </c>
    </row>
    <row r="729" spans="8:8" x14ac:dyDescent="0.25">
      <c r="H729" t="s">
        <v>1457</v>
      </c>
    </row>
    <row r="730" spans="8:8" x14ac:dyDescent="0.25">
      <c r="H730" t="s">
        <v>31</v>
      </c>
    </row>
    <row r="732" spans="8:8" x14ac:dyDescent="0.25">
      <c r="H732" t="s">
        <v>212</v>
      </c>
    </row>
    <row r="733" spans="8:8" x14ac:dyDescent="0.25">
      <c r="H733" t="s">
        <v>1458</v>
      </c>
    </row>
    <row r="734" spans="8:8" x14ac:dyDescent="0.25">
      <c r="H734" t="s">
        <v>606</v>
      </c>
    </row>
    <row r="735" spans="8:8" x14ac:dyDescent="0.25">
      <c r="H735" t="s">
        <v>1459</v>
      </c>
    </row>
    <row r="736" spans="8:8" x14ac:dyDescent="0.25">
      <c r="H736" t="s">
        <v>31</v>
      </c>
    </row>
    <row r="737" spans="8:8" x14ac:dyDescent="0.25">
      <c r="H737" t="s">
        <v>648</v>
      </c>
    </row>
    <row r="738" spans="8:8" x14ac:dyDescent="0.25">
      <c r="H738" t="s">
        <v>1460</v>
      </c>
    </row>
    <row r="739" spans="8:8" x14ac:dyDescent="0.25">
      <c r="H739" t="s">
        <v>31</v>
      </c>
    </row>
    <row r="741" spans="8:8" x14ac:dyDescent="0.25">
      <c r="H741" t="s">
        <v>213</v>
      </c>
    </row>
    <row r="742" spans="8:8" x14ac:dyDescent="0.25">
      <c r="H742" t="s">
        <v>1648</v>
      </c>
    </row>
    <row r="743" spans="8:8" x14ac:dyDescent="0.25">
      <c r="H743" t="s">
        <v>606</v>
      </c>
    </row>
    <row r="744" spans="8:8" x14ac:dyDescent="0.25">
      <c r="H744" t="s">
        <v>1649</v>
      </c>
    </row>
    <row r="745" spans="8:8" x14ac:dyDescent="0.25">
      <c r="H745" t="s">
        <v>31</v>
      </c>
    </row>
    <row r="746" spans="8:8" x14ac:dyDescent="0.25">
      <c r="H746" t="s">
        <v>648</v>
      </c>
    </row>
    <row r="747" spans="8:8" x14ac:dyDescent="0.25">
      <c r="H747" t="s">
        <v>1650</v>
      </c>
    </row>
    <row r="748" spans="8:8" x14ac:dyDescent="0.25">
      <c r="H748" t="s">
        <v>31</v>
      </c>
    </row>
    <row r="749" spans="8:8" x14ac:dyDescent="0.25">
      <c r="H749" t="s">
        <v>651</v>
      </c>
    </row>
    <row r="750" spans="8:8" x14ac:dyDescent="0.25">
      <c r="H750" t="s">
        <v>1651</v>
      </c>
    </row>
    <row r="751" spans="8:8" x14ac:dyDescent="0.25">
      <c r="H751" t="s">
        <v>31</v>
      </c>
    </row>
    <row r="752" spans="8:8" x14ac:dyDescent="0.25">
      <c r="H752" t="s">
        <v>654</v>
      </c>
    </row>
    <row r="753" spans="8:8" x14ac:dyDescent="0.25">
      <c r="H753" t="s">
        <v>1652</v>
      </c>
    </row>
    <row r="754" spans="8:8" x14ac:dyDescent="0.25">
      <c r="H754" t="s">
        <v>31</v>
      </c>
    </row>
    <row r="756" spans="8:8" x14ac:dyDescent="0.25">
      <c r="H756" t="s">
        <v>214</v>
      </c>
    </row>
    <row r="757" spans="8:8" x14ac:dyDescent="0.25">
      <c r="H757" t="s">
        <v>1653</v>
      </c>
    </row>
    <row r="758" spans="8:8" x14ac:dyDescent="0.25">
      <c r="H758" t="s">
        <v>606</v>
      </c>
    </row>
    <row r="759" spans="8:8" x14ac:dyDescent="0.25">
      <c r="H759" t="s">
        <v>1654</v>
      </c>
    </row>
    <row r="760" spans="8:8" x14ac:dyDescent="0.25">
      <c r="H760" t="s">
        <v>31</v>
      </c>
    </row>
    <row r="761" spans="8:8" x14ac:dyDescent="0.25">
      <c r="H761" t="s">
        <v>648</v>
      </c>
    </row>
    <row r="762" spans="8:8" x14ac:dyDescent="0.25">
      <c r="H762" t="s">
        <v>1655</v>
      </c>
    </row>
    <row r="763" spans="8:8" x14ac:dyDescent="0.25">
      <c r="H763" t="s">
        <v>31</v>
      </c>
    </row>
    <row r="764" spans="8:8" x14ac:dyDescent="0.25">
      <c r="H764" t="s">
        <v>651</v>
      </c>
    </row>
    <row r="765" spans="8:8" x14ac:dyDescent="0.25">
      <c r="H765" t="s">
        <v>1656</v>
      </c>
    </row>
    <row r="766" spans="8:8" x14ac:dyDescent="0.25">
      <c r="H766" t="s">
        <v>31</v>
      </c>
    </row>
    <row r="767" spans="8:8" x14ac:dyDescent="0.25">
      <c r="H767" t="s">
        <v>654</v>
      </c>
    </row>
    <row r="768" spans="8:8" x14ac:dyDescent="0.25">
      <c r="H768" t="s">
        <v>1657</v>
      </c>
    </row>
    <row r="769" spans="8:8" x14ac:dyDescent="0.25">
      <c r="H769" t="s">
        <v>31</v>
      </c>
    </row>
    <row r="771" spans="8:8" x14ac:dyDescent="0.25">
      <c r="H771" t="s">
        <v>215</v>
      </c>
    </row>
    <row r="772" spans="8:8" x14ac:dyDescent="0.25">
      <c r="H772" t="s">
        <v>1658</v>
      </c>
    </row>
    <row r="773" spans="8:8" x14ac:dyDescent="0.25">
      <c r="H773" t="s">
        <v>606</v>
      </c>
    </row>
    <row r="774" spans="8:8" x14ac:dyDescent="0.25">
      <c r="H774" t="s">
        <v>1659</v>
      </c>
    </row>
    <row r="775" spans="8:8" x14ac:dyDescent="0.25">
      <c r="H775" t="s">
        <v>31</v>
      </c>
    </row>
    <row r="776" spans="8:8" x14ac:dyDescent="0.25">
      <c r="H776" t="s">
        <v>648</v>
      </c>
    </row>
    <row r="777" spans="8:8" x14ac:dyDescent="0.25">
      <c r="H777" t="s">
        <v>1660</v>
      </c>
    </row>
    <row r="778" spans="8:8" x14ac:dyDescent="0.25">
      <c r="H778" t="s">
        <v>31</v>
      </c>
    </row>
    <row r="780" spans="8:8" x14ac:dyDescent="0.25">
      <c r="H780" t="s">
        <v>216</v>
      </c>
    </row>
    <row r="781" spans="8:8" x14ac:dyDescent="0.25">
      <c r="H781" t="s">
        <v>1661</v>
      </c>
    </row>
    <row r="782" spans="8:8" x14ac:dyDescent="0.25">
      <c r="H782" t="s">
        <v>606</v>
      </c>
    </row>
    <row r="783" spans="8:8" x14ac:dyDescent="0.25">
      <c r="H783" t="s">
        <v>1662</v>
      </c>
    </row>
    <row r="784" spans="8:8" x14ac:dyDescent="0.25">
      <c r="H784" t="s">
        <v>31</v>
      </c>
    </row>
    <row r="786" spans="8:8" x14ac:dyDescent="0.25">
      <c r="H786" t="s">
        <v>217</v>
      </c>
    </row>
    <row r="787" spans="8:8" x14ac:dyDescent="0.25">
      <c r="H787" t="s">
        <v>1663</v>
      </c>
    </row>
    <row r="788" spans="8:8" x14ac:dyDescent="0.25">
      <c r="H788" t="s">
        <v>606</v>
      </c>
    </row>
    <row r="789" spans="8:8" x14ac:dyDescent="0.25">
      <c r="H789" t="s">
        <v>1664</v>
      </c>
    </row>
    <row r="790" spans="8:8" x14ac:dyDescent="0.25">
      <c r="H790" t="s">
        <v>31</v>
      </c>
    </row>
    <row r="792" spans="8:8" x14ac:dyDescent="0.25">
      <c r="H792" t="s">
        <v>218</v>
      </c>
    </row>
    <row r="793" spans="8:8" x14ac:dyDescent="0.25">
      <c r="H793" t="s">
        <v>1665</v>
      </c>
    </row>
    <row r="794" spans="8:8" x14ac:dyDescent="0.25">
      <c r="H794" t="s">
        <v>606</v>
      </c>
    </row>
    <row r="795" spans="8:8" x14ac:dyDescent="0.25">
      <c r="H795" t="s">
        <v>1666</v>
      </c>
    </row>
    <row r="796" spans="8:8" x14ac:dyDescent="0.25">
      <c r="H796" t="s">
        <v>31</v>
      </c>
    </row>
    <row r="797" spans="8:8" x14ac:dyDescent="0.25">
      <c r="H797" t="s">
        <v>648</v>
      </c>
    </row>
    <row r="798" spans="8:8" x14ac:dyDescent="0.25">
      <c r="H798" t="s">
        <v>1667</v>
      </c>
    </row>
    <row r="799" spans="8:8" x14ac:dyDescent="0.25">
      <c r="H799" t="s">
        <v>31</v>
      </c>
    </row>
    <row r="801" spans="8:8" x14ac:dyDescent="0.25">
      <c r="H801" t="s">
        <v>219</v>
      </c>
    </row>
    <row r="802" spans="8:8" x14ac:dyDescent="0.25">
      <c r="H802" t="s">
        <v>1668</v>
      </c>
    </row>
    <row r="803" spans="8:8" x14ac:dyDescent="0.25">
      <c r="H803" t="s">
        <v>606</v>
      </c>
    </row>
    <row r="804" spans="8:8" x14ac:dyDescent="0.25">
      <c r="H804" t="s">
        <v>1669</v>
      </c>
    </row>
    <row r="805" spans="8:8" x14ac:dyDescent="0.25">
      <c r="H805" t="s">
        <v>31</v>
      </c>
    </row>
    <row r="806" spans="8:8" x14ac:dyDescent="0.25">
      <c r="H806" t="s">
        <v>648</v>
      </c>
    </row>
    <row r="807" spans="8:8" x14ac:dyDescent="0.25">
      <c r="H807" t="s">
        <v>1670</v>
      </c>
    </row>
    <row r="808" spans="8:8" x14ac:dyDescent="0.25">
      <c r="H808" t="s">
        <v>31</v>
      </c>
    </row>
    <row r="810" spans="8:8" x14ac:dyDescent="0.25">
      <c r="H810" t="s">
        <v>220</v>
      </c>
    </row>
    <row r="811" spans="8:8" x14ac:dyDescent="0.25">
      <c r="H811" t="s">
        <v>747</v>
      </c>
    </row>
    <row r="812" spans="8:8" x14ac:dyDescent="0.25">
      <c r="H812" t="s">
        <v>606</v>
      </c>
    </row>
    <row r="813" spans="8:8" x14ac:dyDescent="0.25">
      <c r="H813" t="s">
        <v>748</v>
      </c>
    </row>
    <row r="814" spans="8:8" x14ac:dyDescent="0.25">
      <c r="H814" t="s">
        <v>31</v>
      </c>
    </row>
    <row r="816" spans="8:8" x14ac:dyDescent="0.25">
      <c r="H816" t="s">
        <v>1461</v>
      </c>
    </row>
    <row r="817" spans="8:8" x14ac:dyDescent="0.25">
      <c r="H817" t="s">
        <v>749</v>
      </c>
    </row>
    <row r="818" spans="8:8" x14ac:dyDescent="0.25">
      <c r="H818" t="s">
        <v>606</v>
      </c>
    </row>
    <row r="819" spans="8:8" x14ac:dyDescent="0.25">
      <c r="H819" t="s">
        <v>750</v>
      </c>
    </row>
    <row r="820" spans="8:8" x14ac:dyDescent="0.25">
      <c r="H820" t="s">
        <v>31</v>
      </c>
    </row>
    <row r="821" spans="8:8" x14ac:dyDescent="0.25">
      <c r="H821" t="s">
        <v>648</v>
      </c>
    </row>
    <row r="822" spans="8:8" x14ac:dyDescent="0.25">
      <c r="H822" t="s">
        <v>751</v>
      </c>
    </row>
    <row r="823" spans="8:8" x14ac:dyDescent="0.25">
      <c r="H823" t="s">
        <v>31</v>
      </c>
    </row>
    <row r="825" spans="8:8" x14ac:dyDescent="0.25">
      <c r="H825" t="s">
        <v>1462</v>
      </c>
    </row>
    <row r="826" spans="8:8" x14ac:dyDescent="0.25">
      <c r="H826" t="s">
        <v>752</v>
      </c>
    </row>
    <row r="827" spans="8:8" x14ac:dyDescent="0.25">
      <c r="H827" t="s">
        <v>606</v>
      </c>
    </row>
    <row r="828" spans="8:8" x14ac:dyDescent="0.25">
      <c r="H828" t="s">
        <v>753</v>
      </c>
    </row>
    <row r="829" spans="8:8" x14ac:dyDescent="0.25">
      <c r="H829" t="s">
        <v>31</v>
      </c>
    </row>
    <row r="831" spans="8:8" x14ac:dyDescent="0.25">
      <c r="H831" t="s">
        <v>1463</v>
      </c>
    </row>
    <row r="832" spans="8:8" x14ac:dyDescent="0.25">
      <c r="H832" t="s">
        <v>754</v>
      </c>
    </row>
    <row r="833" spans="8:8" x14ac:dyDescent="0.25">
      <c r="H833" t="s">
        <v>606</v>
      </c>
    </row>
    <row r="834" spans="8:8" x14ac:dyDescent="0.25">
      <c r="H834" t="s">
        <v>755</v>
      </c>
    </row>
    <row r="835" spans="8:8" x14ac:dyDescent="0.25">
      <c r="H835" t="s">
        <v>31</v>
      </c>
    </row>
    <row r="837" spans="8:8" x14ac:dyDescent="0.25">
      <c r="H837" t="s">
        <v>1464</v>
      </c>
    </row>
    <row r="838" spans="8:8" x14ac:dyDescent="0.25">
      <c r="H838" t="s">
        <v>756</v>
      </c>
    </row>
    <row r="839" spans="8:8" x14ac:dyDescent="0.25">
      <c r="H839" t="s">
        <v>606</v>
      </c>
    </row>
    <row r="840" spans="8:8" x14ac:dyDescent="0.25">
      <c r="H840" t="s">
        <v>757</v>
      </c>
    </row>
    <row r="841" spans="8:8" x14ac:dyDescent="0.25">
      <c r="H841" t="s">
        <v>31</v>
      </c>
    </row>
    <row r="843" spans="8:8" x14ac:dyDescent="0.25">
      <c r="H843" t="s">
        <v>1465</v>
      </c>
    </row>
    <row r="844" spans="8:8" x14ac:dyDescent="0.25">
      <c r="H844" t="s">
        <v>758</v>
      </c>
    </row>
    <row r="845" spans="8:8" x14ac:dyDescent="0.25">
      <c r="H845" t="s">
        <v>606</v>
      </c>
    </row>
    <row r="846" spans="8:8" x14ac:dyDescent="0.25">
      <c r="H846" t="s">
        <v>759</v>
      </c>
    </row>
    <row r="847" spans="8:8" x14ac:dyDescent="0.25">
      <c r="H847" t="s">
        <v>31</v>
      </c>
    </row>
    <row r="849" spans="8:8" x14ac:dyDescent="0.25">
      <c r="H849" t="s">
        <v>1466</v>
      </c>
    </row>
    <row r="850" spans="8:8" x14ac:dyDescent="0.25">
      <c r="H850" t="s">
        <v>760</v>
      </c>
    </row>
    <row r="851" spans="8:8" x14ac:dyDescent="0.25">
      <c r="H851" t="s">
        <v>606</v>
      </c>
    </row>
    <row r="852" spans="8:8" x14ac:dyDescent="0.25">
      <c r="H852" t="s">
        <v>761</v>
      </c>
    </row>
    <row r="853" spans="8:8" x14ac:dyDescent="0.25">
      <c r="H853" t="s">
        <v>31</v>
      </c>
    </row>
    <row r="855" spans="8:8" x14ac:dyDescent="0.25">
      <c r="H855" t="s">
        <v>1467</v>
      </c>
    </row>
    <row r="856" spans="8:8" x14ac:dyDescent="0.25">
      <c r="H856" t="s">
        <v>762</v>
      </c>
    </row>
    <row r="857" spans="8:8" x14ac:dyDescent="0.25">
      <c r="H857" t="s">
        <v>606</v>
      </c>
    </row>
    <row r="858" spans="8:8" x14ac:dyDescent="0.25">
      <c r="H858" t="s">
        <v>763</v>
      </c>
    </row>
    <row r="859" spans="8:8" x14ac:dyDescent="0.25">
      <c r="H859" t="s">
        <v>31</v>
      </c>
    </row>
    <row r="861" spans="8:8" x14ac:dyDescent="0.25">
      <c r="H861" t="s">
        <v>1468</v>
      </c>
    </row>
    <row r="862" spans="8:8" x14ac:dyDescent="0.25">
      <c r="H862" t="s">
        <v>764</v>
      </c>
    </row>
    <row r="863" spans="8:8" x14ac:dyDescent="0.25">
      <c r="H863" t="s">
        <v>606</v>
      </c>
    </row>
    <row r="864" spans="8:8" x14ac:dyDescent="0.25">
      <c r="H864" t="s">
        <v>765</v>
      </c>
    </row>
    <row r="865" spans="8:8" x14ac:dyDescent="0.25">
      <c r="H865" t="s">
        <v>31</v>
      </c>
    </row>
    <row r="867" spans="8:8" x14ac:dyDescent="0.25">
      <c r="H867" t="s">
        <v>1469</v>
      </c>
    </row>
    <row r="868" spans="8:8" x14ac:dyDescent="0.25">
      <c r="H868" t="s">
        <v>766</v>
      </c>
    </row>
    <row r="869" spans="8:8" x14ac:dyDescent="0.25">
      <c r="H869" t="s">
        <v>606</v>
      </c>
    </row>
    <row r="870" spans="8:8" x14ac:dyDescent="0.25">
      <c r="H870" t="s">
        <v>767</v>
      </c>
    </row>
    <row r="871" spans="8:8" x14ac:dyDescent="0.25">
      <c r="H871" t="s">
        <v>31</v>
      </c>
    </row>
    <row r="873" spans="8:8" x14ac:dyDescent="0.25">
      <c r="H873" t="s">
        <v>1470</v>
      </c>
    </row>
    <row r="874" spans="8:8" x14ac:dyDescent="0.25">
      <c r="H874" t="s">
        <v>1239</v>
      </c>
    </row>
    <row r="875" spans="8:8" x14ac:dyDescent="0.25">
      <c r="H875" t="s">
        <v>606</v>
      </c>
    </row>
    <row r="876" spans="8:8" x14ac:dyDescent="0.25">
      <c r="H876" t="s">
        <v>1240</v>
      </c>
    </row>
    <row r="877" spans="8:8" x14ac:dyDescent="0.25">
      <c r="H877" t="s">
        <v>31</v>
      </c>
    </row>
    <row r="879" spans="8:8" x14ac:dyDescent="0.25">
      <c r="H879" t="s">
        <v>1471</v>
      </c>
    </row>
    <row r="880" spans="8:8" x14ac:dyDescent="0.25">
      <c r="H880" t="s">
        <v>1241</v>
      </c>
    </row>
    <row r="881" spans="8:8" x14ac:dyDescent="0.25">
      <c r="H881" t="s">
        <v>606</v>
      </c>
    </row>
    <row r="882" spans="8:8" x14ac:dyDescent="0.25">
      <c r="H882" t="s">
        <v>1242</v>
      </c>
    </row>
    <row r="883" spans="8:8" x14ac:dyDescent="0.25">
      <c r="H883" t="s">
        <v>31</v>
      </c>
    </row>
    <row r="884" spans="8:8" x14ac:dyDescent="0.25">
      <c r="H884" t="s">
        <v>648</v>
      </c>
    </row>
    <row r="885" spans="8:8" x14ac:dyDescent="0.25">
      <c r="H885" t="s">
        <v>1243</v>
      </c>
    </row>
    <row r="886" spans="8:8" x14ac:dyDescent="0.25">
      <c r="H886" t="s">
        <v>31</v>
      </c>
    </row>
    <row r="888" spans="8:8" x14ac:dyDescent="0.25">
      <c r="H888" t="s">
        <v>1472</v>
      </c>
    </row>
    <row r="889" spans="8:8" x14ac:dyDescent="0.25">
      <c r="H889" t="s">
        <v>1244</v>
      </c>
    </row>
    <row r="890" spans="8:8" x14ac:dyDescent="0.25">
      <c r="H890" t="s">
        <v>606</v>
      </c>
    </row>
    <row r="891" spans="8:8" x14ac:dyDescent="0.25">
      <c r="H891" t="s">
        <v>1106</v>
      </c>
    </row>
    <row r="892" spans="8:8" x14ac:dyDescent="0.25">
      <c r="H892" t="s">
        <v>31</v>
      </c>
    </row>
    <row r="894" spans="8:8" x14ac:dyDescent="0.25">
      <c r="H894" t="s">
        <v>1473</v>
      </c>
    </row>
    <row r="895" spans="8:8" x14ac:dyDescent="0.25">
      <c r="H895" t="s">
        <v>1245</v>
      </c>
    </row>
    <row r="896" spans="8:8" x14ac:dyDescent="0.25">
      <c r="H896" t="s">
        <v>606</v>
      </c>
    </row>
    <row r="897" spans="8:8" x14ac:dyDescent="0.25">
      <c r="H897" t="s">
        <v>1107</v>
      </c>
    </row>
    <row r="898" spans="8:8" x14ac:dyDescent="0.25">
      <c r="H898" t="s">
        <v>31</v>
      </c>
    </row>
    <row r="900" spans="8:8" x14ac:dyDescent="0.25">
      <c r="H900" t="s">
        <v>1474</v>
      </c>
    </row>
    <row r="901" spans="8:8" x14ac:dyDescent="0.25">
      <c r="H901" t="s">
        <v>1246</v>
      </c>
    </row>
    <row r="902" spans="8:8" x14ac:dyDescent="0.25">
      <c r="H902" t="s">
        <v>606</v>
      </c>
    </row>
    <row r="903" spans="8:8" x14ac:dyDescent="0.25">
      <c r="H903" t="s">
        <v>1108</v>
      </c>
    </row>
    <row r="904" spans="8:8" x14ac:dyDescent="0.25">
      <c r="H904" t="s">
        <v>31</v>
      </c>
    </row>
    <row r="906" spans="8:8" x14ac:dyDescent="0.25">
      <c r="H906" t="s">
        <v>1475</v>
      </c>
    </row>
    <row r="907" spans="8:8" x14ac:dyDescent="0.25">
      <c r="H907" t="s">
        <v>1247</v>
      </c>
    </row>
    <row r="908" spans="8:8" x14ac:dyDescent="0.25">
      <c r="H908" t="s">
        <v>606</v>
      </c>
    </row>
    <row r="909" spans="8:8" x14ac:dyDescent="0.25">
      <c r="H909" t="s">
        <v>1109</v>
      </c>
    </row>
    <row r="910" spans="8:8" x14ac:dyDescent="0.25">
      <c r="H910" t="s">
        <v>31</v>
      </c>
    </row>
    <row r="912" spans="8:8" x14ac:dyDescent="0.25">
      <c r="H912" t="s">
        <v>1476</v>
      </c>
    </row>
    <row r="913" spans="8:8" x14ac:dyDescent="0.25">
      <c r="H913" t="s">
        <v>1248</v>
      </c>
    </row>
    <row r="914" spans="8:8" x14ac:dyDescent="0.25">
      <c r="H914" t="s">
        <v>606</v>
      </c>
    </row>
    <row r="915" spans="8:8" x14ac:dyDescent="0.25">
      <c r="H915" t="s">
        <v>1110</v>
      </c>
    </row>
    <row r="916" spans="8:8" x14ac:dyDescent="0.25">
      <c r="H916" t="s">
        <v>31</v>
      </c>
    </row>
    <row r="918" spans="8:8" x14ac:dyDescent="0.25">
      <c r="H918" t="s">
        <v>1477</v>
      </c>
    </row>
    <row r="919" spans="8:8" x14ac:dyDescent="0.25">
      <c r="H919" t="s">
        <v>1249</v>
      </c>
    </row>
    <row r="920" spans="8:8" x14ac:dyDescent="0.25">
      <c r="H920" t="s">
        <v>606</v>
      </c>
    </row>
    <row r="921" spans="8:8" x14ac:dyDescent="0.25">
      <c r="H921" t="s">
        <v>1111</v>
      </c>
    </row>
    <row r="922" spans="8:8" x14ac:dyDescent="0.25">
      <c r="H922" t="s">
        <v>31</v>
      </c>
    </row>
    <row r="924" spans="8:8" x14ac:dyDescent="0.25">
      <c r="H924" t="s">
        <v>1478</v>
      </c>
    </row>
    <row r="925" spans="8:8" x14ac:dyDescent="0.25">
      <c r="H925" t="s">
        <v>699</v>
      </c>
    </row>
    <row r="926" spans="8:8" x14ac:dyDescent="0.25">
      <c r="H926" t="s">
        <v>606</v>
      </c>
    </row>
    <row r="927" spans="8:8" x14ac:dyDescent="0.25">
      <c r="H927" t="s">
        <v>700</v>
      </c>
    </row>
    <row r="928" spans="8:8" x14ac:dyDescent="0.25">
      <c r="H928" t="s">
        <v>31</v>
      </c>
    </row>
    <row r="930" spans="8:8" x14ac:dyDescent="0.25">
      <c r="H930" t="s">
        <v>1479</v>
      </c>
    </row>
    <row r="931" spans="8:8" x14ac:dyDescent="0.25">
      <c r="H931" t="s">
        <v>701</v>
      </c>
    </row>
    <row r="932" spans="8:8" x14ac:dyDescent="0.25">
      <c r="H932" t="s">
        <v>606</v>
      </c>
    </row>
    <row r="933" spans="8:8" x14ac:dyDescent="0.25">
      <c r="H933" t="s">
        <v>702</v>
      </c>
    </row>
    <row r="934" spans="8:8" x14ac:dyDescent="0.25">
      <c r="H934" t="s">
        <v>31</v>
      </c>
    </row>
    <row r="936" spans="8:8" x14ac:dyDescent="0.25">
      <c r="H936" t="s">
        <v>1480</v>
      </c>
    </row>
    <row r="937" spans="8:8" x14ac:dyDescent="0.25">
      <c r="H937" t="s">
        <v>703</v>
      </c>
    </row>
    <row r="938" spans="8:8" x14ac:dyDescent="0.25">
      <c r="H938" t="s">
        <v>606</v>
      </c>
    </row>
    <row r="939" spans="8:8" x14ac:dyDescent="0.25">
      <c r="H939" t="s">
        <v>704</v>
      </c>
    </row>
    <row r="940" spans="8:8" x14ac:dyDescent="0.25">
      <c r="H940" t="s">
        <v>31</v>
      </c>
    </row>
    <row r="941" spans="8:8" x14ac:dyDescent="0.25">
      <c r="H941" t="s">
        <v>648</v>
      </c>
    </row>
    <row r="942" spans="8:8" x14ac:dyDescent="0.25">
      <c r="H942" t="s">
        <v>1277</v>
      </c>
    </row>
    <row r="943" spans="8:8" x14ac:dyDescent="0.25">
      <c r="H943" t="s">
        <v>31</v>
      </c>
    </row>
    <row r="945" spans="8:8" x14ac:dyDescent="0.25">
      <c r="H945" t="s">
        <v>1481</v>
      </c>
    </row>
    <row r="946" spans="8:8" x14ac:dyDescent="0.25">
      <c r="H946" t="s">
        <v>705</v>
      </c>
    </row>
    <row r="947" spans="8:8" x14ac:dyDescent="0.25">
      <c r="H947" t="s">
        <v>606</v>
      </c>
    </row>
    <row r="948" spans="8:8" x14ac:dyDescent="0.25">
      <c r="H948" t="s">
        <v>706</v>
      </c>
    </row>
    <row r="949" spans="8:8" x14ac:dyDescent="0.25">
      <c r="H949" t="s">
        <v>31</v>
      </c>
    </row>
    <row r="951" spans="8:8" x14ac:dyDescent="0.25">
      <c r="H951" t="s">
        <v>1482</v>
      </c>
    </row>
    <row r="952" spans="8:8" x14ac:dyDescent="0.25">
      <c r="H952" t="s">
        <v>707</v>
      </c>
    </row>
    <row r="953" spans="8:8" x14ac:dyDescent="0.25">
      <c r="H953" t="s">
        <v>606</v>
      </c>
    </row>
    <row r="954" spans="8:8" x14ac:dyDescent="0.25">
      <c r="H954" t="s">
        <v>708</v>
      </c>
    </row>
    <row r="955" spans="8:8" x14ac:dyDescent="0.25">
      <c r="H955" t="s">
        <v>31</v>
      </c>
    </row>
    <row r="957" spans="8:8" x14ac:dyDescent="0.25">
      <c r="H957" t="s">
        <v>1483</v>
      </c>
    </row>
    <row r="958" spans="8:8" x14ac:dyDescent="0.25">
      <c r="H958" t="s">
        <v>709</v>
      </c>
    </row>
    <row r="959" spans="8:8" x14ac:dyDescent="0.25">
      <c r="H959" t="s">
        <v>606</v>
      </c>
    </row>
    <row r="960" spans="8:8" x14ac:dyDescent="0.25">
      <c r="H960" t="s">
        <v>710</v>
      </c>
    </row>
    <row r="961" spans="8:8" x14ac:dyDescent="0.25">
      <c r="H961" t="s">
        <v>31</v>
      </c>
    </row>
    <row r="963" spans="8:8" x14ac:dyDescent="0.25">
      <c r="H963" t="s">
        <v>1484</v>
      </c>
    </row>
    <row r="964" spans="8:8" x14ac:dyDescent="0.25">
      <c r="H964" t="s">
        <v>711</v>
      </c>
    </row>
    <row r="965" spans="8:8" x14ac:dyDescent="0.25">
      <c r="H965" t="s">
        <v>606</v>
      </c>
    </row>
    <row r="966" spans="8:8" x14ac:dyDescent="0.25">
      <c r="H966" t="s">
        <v>712</v>
      </c>
    </row>
    <row r="967" spans="8:8" x14ac:dyDescent="0.25">
      <c r="H967" t="s">
        <v>31</v>
      </c>
    </row>
    <row r="968" spans="8:8" x14ac:dyDescent="0.25">
      <c r="H968" t="s">
        <v>648</v>
      </c>
    </row>
    <row r="969" spans="8:8" x14ac:dyDescent="0.25">
      <c r="H969" t="s">
        <v>1278</v>
      </c>
    </row>
    <row r="970" spans="8:8" x14ac:dyDescent="0.25">
      <c r="H970" t="s">
        <v>31</v>
      </c>
    </row>
    <row r="972" spans="8:8" x14ac:dyDescent="0.25">
      <c r="H972" t="s">
        <v>1485</v>
      </c>
    </row>
    <row r="973" spans="8:8" x14ac:dyDescent="0.25">
      <c r="H973" t="s">
        <v>713</v>
      </c>
    </row>
    <row r="974" spans="8:8" x14ac:dyDescent="0.25">
      <c r="H974" t="s">
        <v>606</v>
      </c>
    </row>
    <row r="975" spans="8:8" x14ac:dyDescent="0.25">
      <c r="H975" t="s">
        <v>714</v>
      </c>
    </row>
    <row r="976" spans="8:8" x14ac:dyDescent="0.25">
      <c r="H976" t="s">
        <v>31</v>
      </c>
    </row>
    <row r="978" spans="8:8" x14ac:dyDescent="0.25">
      <c r="H978" t="s">
        <v>1486</v>
      </c>
    </row>
    <row r="979" spans="8:8" x14ac:dyDescent="0.25">
      <c r="H979" t="s">
        <v>715</v>
      </c>
    </row>
    <row r="980" spans="8:8" x14ac:dyDescent="0.25">
      <c r="H980" t="s">
        <v>606</v>
      </c>
    </row>
    <row r="981" spans="8:8" x14ac:dyDescent="0.25">
      <c r="H981" t="s">
        <v>716</v>
      </c>
    </row>
    <row r="982" spans="8:8" x14ac:dyDescent="0.25">
      <c r="H982" t="s">
        <v>31</v>
      </c>
    </row>
    <row r="984" spans="8:8" x14ac:dyDescent="0.25">
      <c r="H984" t="s">
        <v>1487</v>
      </c>
    </row>
    <row r="985" spans="8:8" x14ac:dyDescent="0.25">
      <c r="H985" t="s">
        <v>717</v>
      </c>
    </row>
    <row r="986" spans="8:8" x14ac:dyDescent="0.25">
      <c r="H986" t="s">
        <v>606</v>
      </c>
    </row>
    <row r="987" spans="8:8" x14ac:dyDescent="0.25">
      <c r="H987" t="s">
        <v>718</v>
      </c>
    </row>
    <row r="988" spans="8:8" x14ac:dyDescent="0.25">
      <c r="H988" t="s">
        <v>31</v>
      </c>
    </row>
    <row r="990" spans="8:8" x14ac:dyDescent="0.25">
      <c r="H990" t="s">
        <v>1488</v>
      </c>
    </row>
    <row r="991" spans="8:8" x14ac:dyDescent="0.25">
      <c r="H991" t="s">
        <v>719</v>
      </c>
    </row>
    <row r="992" spans="8:8" x14ac:dyDescent="0.25">
      <c r="H992" t="s">
        <v>606</v>
      </c>
    </row>
    <row r="993" spans="8:8" x14ac:dyDescent="0.25">
      <c r="H993" t="s">
        <v>720</v>
      </c>
    </row>
    <row r="994" spans="8:8" x14ac:dyDescent="0.25">
      <c r="H994" t="s">
        <v>31</v>
      </c>
    </row>
    <row r="995" spans="8:8" x14ac:dyDescent="0.25">
      <c r="H995" t="s">
        <v>648</v>
      </c>
    </row>
    <row r="996" spans="8:8" x14ac:dyDescent="0.25">
      <c r="H996" t="s">
        <v>1279</v>
      </c>
    </row>
    <row r="997" spans="8:8" x14ac:dyDescent="0.25">
      <c r="H997" t="s">
        <v>31</v>
      </c>
    </row>
    <row r="999" spans="8:8" x14ac:dyDescent="0.25">
      <c r="H999" t="s">
        <v>1834</v>
      </c>
    </row>
    <row r="1000" spans="8:8" x14ac:dyDescent="0.25">
      <c r="H1000" t="s">
        <v>721</v>
      </c>
    </row>
    <row r="1001" spans="8:8" x14ac:dyDescent="0.25">
      <c r="H1001" t="s">
        <v>606</v>
      </c>
    </row>
    <row r="1002" spans="8:8" x14ac:dyDescent="0.25">
      <c r="H1002" t="s">
        <v>722</v>
      </c>
    </row>
    <row r="1003" spans="8:8" x14ac:dyDescent="0.25">
      <c r="H1003" t="s">
        <v>31</v>
      </c>
    </row>
    <row r="1005" spans="8:8" x14ac:dyDescent="0.25">
      <c r="H1005" t="s">
        <v>1835</v>
      </c>
    </row>
    <row r="1006" spans="8:8" x14ac:dyDescent="0.25">
      <c r="H1006" t="s">
        <v>723</v>
      </c>
    </row>
    <row r="1007" spans="8:8" x14ac:dyDescent="0.25">
      <c r="H1007" t="s">
        <v>606</v>
      </c>
    </row>
    <row r="1008" spans="8:8" x14ac:dyDescent="0.25">
      <c r="H1008" t="s">
        <v>724</v>
      </c>
    </row>
    <row r="1009" spans="8:8" x14ac:dyDescent="0.25">
      <c r="H1009" t="s">
        <v>31</v>
      </c>
    </row>
    <row r="1011" spans="8:8" x14ac:dyDescent="0.25">
      <c r="H1011" t="s">
        <v>1836</v>
      </c>
    </row>
    <row r="1012" spans="8:8" x14ac:dyDescent="0.25">
      <c r="H1012" t="s">
        <v>725</v>
      </c>
    </row>
    <row r="1013" spans="8:8" x14ac:dyDescent="0.25">
      <c r="H1013" t="s">
        <v>606</v>
      </c>
    </row>
    <row r="1014" spans="8:8" x14ac:dyDescent="0.25">
      <c r="H1014" t="s">
        <v>726</v>
      </c>
    </row>
    <row r="1015" spans="8:8" x14ac:dyDescent="0.25">
      <c r="H1015" t="s">
        <v>31</v>
      </c>
    </row>
    <row r="1017" spans="8:8" x14ac:dyDescent="0.25">
      <c r="H1017" t="s">
        <v>1837</v>
      </c>
    </row>
    <row r="1018" spans="8:8" x14ac:dyDescent="0.25">
      <c r="H1018" t="s">
        <v>727</v>
      </c>
    </row>
    <row r="1019" spans="8:8" x14ac:dyDescent="0.25">
      <c r="H1019" t="s">
        <v>606</v>
      </c>
    </row>
    <row r="1020" spans="8:8" x14ac:dyDescent="0.25">
      <c r="H1020" t="s">
        <v>728</v>
      </c>
    </row>
    <row r="1021" spans="8:8" x14ac:dyDescent="0.25">
      <c r="H1021" t="s">
        <v>31</v>
      </c>
    </row>
    <row r="1022" spans="8:8" x14ac:dyDescent="0.25">
      <c r="H1022" t="s">
        <v>648</v>
      </c>
    </row>
    <row r="1023" spans="8:8" x14ac:dyDescent="0.25">
      <c r="H1023" t="s">
        <v>1280</v>
      </c>
    </row>
    <row r="1024" spans="8:8" x14ac:dyDescent="0.25">
      <c r="H1024" t="s">
        <v>31</v>
      </c>
    </row>
    <row r="1026" spans="8:8" x14ac:dyDescent="0.25">
      <c r="H1026" t="s">
        <v>1838</v>
      </c>
    </row>
    <row r="1027" spans="8:8" x14ac:dyDescent="0.25">
      <c r="H1027" t="s">
        <v>729</v>
      </c>
    </row>
    <row r="1028" spans="8:8" x14ac:dyDescent="0.25">
      <c r="H1028" t="s">
        <v>606</v>
      </c>
    </row>
    <row r="1029" spans="8:8" x14ac:dyDescent="0.25">
      <c r="H1029" t="s">
        <v>730</v>
      </c>
    </row>
    <row r="1030" spans="8:8" x14ac:dyDescent="0.25">
      <c r="H1030" t="s">
        <v>31</v>
      </c>
    </row>
    <row r="1032" spans="8:8" x14ac:dyDescent="0.25">
      <c r="H1032" t="s">
        <v>1839</v>
      </c>
    </row>
    <row r="1033" spans="8:8" x14ac:dyDescent="0.25">
      <c r="H1033" t="s">
        <v>731</v>
      </c>
    </row>
    <row r="1034" spans="8:8" x14ac:dyDescent="0.25">
      <c r="H1034" t="s">
        <v>606</v>
      </c>
    </row>
    <row r="1035" spans="8:8" x14ac:dyDescent="0.25">
      <c r="H1035" t="s">
        <v>732</v>
      </c>
    </row>
    <row r="1036" spans="8:8" x14ac:dyDescent="0.25">
      <c r="H1036" t="s">
        <v>31</v>
      </c>
    </row>
    <row r="1038" spans="8:8" x14ac:dyDescent="0.25">
      <c r="H1038" t="s">
        <v>1840</v>
      </c>
    </row>
    <row r="1039" spans="8:8" x14ac:dyDescent="0.25">
      <c r="H1039" t="s">
        <v>733</v>
      </c>
    </row>
    <row r="1040" spans="8:8" x14ac:dyDescent="0.25">
      <c r="H1040" t="s">
        <v>606</v>
      </c>
    </row>
    <row r="1041" spans="8:8" x14ac:dyDescent="0.25">
      <c r="H1041" t="s">
        <v>734</v>
      </c>
    </row>
    <row r="1042" spans="8:8" x14ac:dyDescent="0.25">
      <c r="H1042" t="s">
        <v>31</v>
      </c>
    </row>
    <row r="1044" spans="8:8" x14ac:dyDescent="0.25">
      <c r="H1044" t="s">
        <v>1841</v>
      </c>
    </row>
    <row r="1045" spans="8:8" x14ac:dyDescent="0.25">
      <c r="H1045" t="s">
        <v>735</v>
      </c>
    </row>
    <row r="1046" spans="8:8" x14ac:dyDescent="0.25">
      <c r="H1046" t="s">
        <v>606</v>
      </c>
    </row>
    <row r="1047" spans="8:8" x14ac:dyDescent="0.25">
      <c r="H1047" t="s">
        <v>736</v>
      </c>
    </row>
    <row r="1048" spans="8:8" x14ac:dyDescent="0.25">
      <c r="H1048" t="s">
        <v>31</v>
      </c>
    </row>
    <row r="1049" spans="8:8" x14ac:dyDescent="0.25">
      <c r="H1049" t="s">
        <v>648</v>
      </c>
    </row>
    <row r="1050" spans="8:8" x14ac:dyDescent="0.25">
      <c r="H1050" t="s">
        <v>1281</v>
      </c>
    </row>
    <row r="1051" spans="8:8" x14ac:dyDescent="0.25">
      <c r="H1051" t="s">
        <v>31</v>
      </c>
    </row>
    <row r="1053" spans="8:8" x14ac:dyDescent="0.25">
      <c r="H1053" t="s">
        <v>1842</v>
      </c>
    </row>
    <row r="1054" spans="8:8" x14ac:dyDescent="0.25">
      <c r="H1054" t="s">
        <v>737</v>
      </c>
    </row>
    <row r="1055" spans="8:8" x14ac:dyDescent="0.25">
      <c r="H1055" t="s">
        <v>606</v>
      </c>
    </row>
    <row r="1056" spans="8:8" x14ac:dyDescent="0.25">
      <c r="H1056" t="s">
        <v>738</v>
      </c>
    </row>
    <row r="1057" spans="8:8" x14ac:dyDescent="0.25">
      <c r="H1057" t="s">
        <v>31</v>
      </c>
    </row>
    <row r="1059" spans="8:8" x14ac:dyDescent="0.25">
      <c r="H1059" t="s">
        <v>1843</v>
      </c>
    </row>
    <row r="1060" spans="8:8" x14ac:dyDescent="0.25">
      <c r="H1060" t="s">
        <v>739</v>
      </c>
    </row>
    <row r="1061" spans="8:8" x14ac:dyDescent="0.25">
      <c r="H1061" t="s">
        <v>606</v>
      </c>
    </row>
    <row r="1062" spans="8:8" x14ac:dyDescent="0.25">
      <c r="H1062" t="s">
        <v>740</v>
      </c>
    </row>
    <row r="1063" spans="8:8" x14ac:dyDescent="0.25">
      <c r="H1063" t="s">
        <v>31</v>
      </c>
    </row>
    <row r="1065" spans="8:8" x14ac:dyDescent="0.25">
      <c r="H1065" t="s">
        <v>1844</v>
      </c>
    </row>
    <row r="1066" spans="8:8" x14ac:dyDescent="0.25">
      <c r="H1066" t="s">
        <v>741</v>
      </c>
    </row>
    <row r="1067" spans="8:8" x14ac:dyDescent="0.25">
      <c r="H1067" t="s">
        <v>606</v>
      </c>
    </row>
    <row r="1068" spans="8:8" x14ac:dyDescent="0.25">
      <c r="H1068" t="s">
        <v>742</v>
      </c>
    </row>
    <row r="1069" spans="8:8" x14ac:dyDescent="0.25">
      <c r="H1069" t="s">
        <v>31</v>
      </c>
    </row>
    <row r="1071" spans="8:8" x14ac:dyDescent="0.25">
      <c r="H1071" t="s">
        <v>1845</v>
      </c>
    </row>
    <row r="1072" spans="8:8" x14ac:dyDescent="0.25">
      <c r="H1072" t="s">
        <v>743</v>
      </c>
    </row>
    <row r="1073" spans="8:8" x14ac:dyDescent="0.25">
      <c r="H1073" t="s">
        <v>606</v>
      </c>
    </row>
    <row r="1074" spans="8:8" x14ac:dyDescent="0.25">
      <c r="H1074" t="s">
        <v>744</v>
      </c>
    </row>
    <row r="1075" spans="8:8" x14ac:dyDescent="0.25">
      <c r="H1075" t="s">
        <v>31</v>
      </c>
    </row>
    <row r="1076" spans="8:8" x14ac:dyDescent="0.25">
      <c r="H1076" t="s">
        <v>648</v>
      </c>
    </row>
    <row r="1077" spans="8:8" x14ac:dyDescent="0.25">
      <c r="H1077" t="s">
        <v>1282</v>
      </c>
    </row>
    <row r="1078" spans="8:8" x14ac:dyDescent="0.25">
      <c r="H1078" t="s">
        <v>31</v>
      </c>
    </row>
    <row r="1080" spans="8:8" x14ac:dyDescent="0.25">
      <c r="H1080" t="s">
        <v>1945</v>
      </c>
    </row>
    <row r="1081" spans="8:8" x14ac:dyDescent="0.25">
      <c r="H1081" t="s">
        <v>745</v>
      </c>
    </row>
    <row r="1082" spans="8:8" x14ac:dyDescent="0.25">
      <c r="H1082" t="s">
        <v>606</v>
      </c>
    </row>
    <row r="1083" spans="8:8" x14ac:dyDescent="0.25">
      <c r="H1083" t="s">
        <v>746</v>
      </c>
    </row>
    <row r="1084" spans="8:8" x14ac:dyDescent="0.25">
      <c r="H1084" t="s">
        <v>31</v>
      </c>
    </row>
    <row r="1086" spans="8:8" x14ac:dyDescent="0.25">
      <c r="H1086" t="s">
        <v>29</v>
      </c>
    </row>
    <row r="1087" spans="8:8" x14ac:dyDescent="0.25">
      <c r="H1087" t="s">
        <v>123</v>
      </c>
    </row>
    <row r="1088" spans="8:8" x14ac:dyDescent="0.25">
      <c r="H1088" t="s">
        <v>768</v>
      </c>
    </row>
    <row r="1090" spans="8:8" x14ac:dyDescent="0.25">
      <c r="H1090" t="s">
        <v>30</v>
      </c>
    </row>
    <row r="1091" spans="8:8" x14ac:dyDescent="0.25">
      <c r="H1091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7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486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638</v>
      </c>
    </row>
    <row r="9" spans="1:8" x14ac:dyDescent="0.25">
      <c r="B9" t="s">
        <v>487</v>
      </c>
      <c r="H9" t="s">
        <v>606</v>
      </c>
    </row>
    <row r="10" spans="1:8" x14ac:dyDescent="0.25">
      <c r="H10" t="s">
        <v>780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640</v>
      </c>
    </row>
    <row r="15" spans="1:8" x14ac:dyDescent="0.25">
      <c r="B15" t="s">
        <v>35</v>
      </c>
      <c r="H15" t="s">
        <v>606</v>
      </c>
    </row>
    <row r="16" spans="1:8" x14ac:dyDescent="0.25">
      <c r="H16" t="s">
        <v>781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490</v>
      </c>
    </row>
    <row r="19" spans="2:8" x14ac:dyDescent="0.25">
      <c r="H19" t="s">
        <v>131</v>
      </c>
    </row>
    <row r="20" spans="2:8" x14ac:dyDescent="0.25">
      <c r="B20" s="1"/>
      <c r="H20" t="s">
        <v>642</v>
      </c>
    </row>
    <row r="21" spans="2:8" x14ac:dyDescent="0.25">
      <c r="H21" t="s">
        <v>606</v>
      </c>
    </row>
    <row r="22" spans="2:8" x14ac:dyDescent="0.25">
      <c r="H22" t="s">
        <v>782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783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769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770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771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772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773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774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628</v>
      </c>
    </row>
    <row r="69" spans="8:8" x14ac:dyDescent="0.25">
      <c r="H69" t="s">
        <v>606</v>
      </c>
    </row>
    <row r="70" spans="8:8" x14ac:dyDescent="0.25">
      <c r="H70" t="s">
        <v>775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630</v>
      </c>
    </row>
    <row r="75" spans="8:8" x14ac:dyDescent="0.25">
      <c r="H75" t="s">
        <v>606</v>
      </c>
    </row>
    <row r="76" spans="8:8" x14ac:dyDescent="0.25">
      <c r="H76" t="s">
        <v>776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632</v>
      </c>
    </row>
    <row r="81" spans="8:8" x14ac:dyDescent="0.25">
      <c r="H81" t="s">
        <v>606</v>
      </c>
    </row>
    <row r="82" spans="8:8" x14ac:dyDescent="0.25">
      <c r="H82" t="s">
        <v>777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634</v>
      </c>
    </row>
    <row r="87" spans="8:8" x14ac:dyDescent="0.25">
      <c r="H87" t="s">
        <v>606</v>
      </c>
    </row>
    <row r="88" spans="8:8" x14ac:dyDescent="0.25">
      <c r="H88" t="s">
        <v>778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636</v>
      </c>
    </row>
    <row r="93" spans="8:8" x14ac:dyDescent="0.25">
      <c r="H93" t="s">
        <v>606</v>
      </c>
    </row>
    <row r="94" spans="8:8" x14ac:dyDescent="0.25">
      <c r="H94" t="s">
        <v>779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1227</v>
      </c>
    </row>
    <row r="99" spans="8:8" x14ac:dyDescent="0.25">
      <c r="H99" t="s">
        <v>606</v>
      </c>
    </row>
    <row r="100" spans="8:8" x14ac:dyDescent="0.25">
      <c r="H100" t="s">
        <v>1250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1229</v>
      </c>
    </row>
    <row r="105" spans="8:8" x14ac:dyDescent="0.25">
      <c r="H105" t="s">
        <v>606</v>
      </c>
    </row>
    <row r="106" spans="8:8" x14ac:dyDescent="0.25">
      <c r="H106" t="s">
        <v>1251</v>
      </c>
    </row>
    <row r="107" spans="8:8" x14ac:dyDescent="0.25">
      <c r="H107" t="s">
        <v>31</v>
      </c>
    </row>
    <row r="109" spans="8:8" x14ac:dyDescent="0.25">
      <c r="H109" t="s">
        <v>153</v>
      </c>
    </row>
    <row r="110" spans="8:8" x14ac:dyDescent="0.25">
      <c r="H110" t="s">
        <v>1235</v>
      </c>
    </row>
    <row r="111" spans="8:8" x14ac:dyDescent="0.25">
      <c r="H111" t="s">
        <v>606</v>
      </c>
    </row>
    <row r="112" spans="8:8" x14ac:dyDescent="0.25">
      <c r="H112" t="s">
        <v>1252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1237</v>
      </c>
    </row>
    <row r="117" spans="8:8" x14ac:dyDescent="0.25">
      <c r="H117" t="s">
        <v>606</v>
      </c>
    </row>
    <row r="118" spans="8:8" x14ac:dyDescent="0.25">
      <c r="H118" t="s">
        <v>1253</v>
      </c>
    </row>
    <row r="119" spans="8:8" x14ac:dyDescent="0.25">
      <c r="H119" t="s">
        <v>31</v>
      </c>
    </row>
    <row r="121" spans="8:8" x14ac:dyDescent="0.25">
      <c r="H121" t="s">
        <v>155</v>
      </c>
    </row>
    <row r="122" spans="8:8" x14ac:dyDescent="0.25">
      <c r="H122" t="s">
        <v>646</v>
      </c>
    </row>
    <row r="123" spans="8:8" x14ac:dyDescent="0.25">
      <c r="H123" t="s">
        <v>606</v>
      </c>
    </row>
    <row r="124" spans="8:8" x14ac:dyDescent="0.25">
      <c r="H124" t="s">
        <v>784</v>
      </c>
    </row>
    <row r="125" spans="8:8" x14ac:dyDescent="0.25">
      <c r="H125" t="s">
        <v>31</v>
      </c>
    </row>
    <row r="126" spans="8:8" x14ac:dyDescent="0.25">
      <c r="H126" t="s">
        <v>648</v>
      </c>
    </row>
    <row r="127" spans="8:8" x14ac:dyDescent="0.25">
      <c r="H127" t="s">
        <v>785</v>
      </c>
    </row>
    <row r="128" spans="8:8" x14ac:dyDescent="0.25">
      <c r="H128" t="s">
        <v>31</v>
      </c>
    </row>
    <row r="129" spans="8:8" x14ac:dyDescent="0.25">
      <c r="H129" t="s">
        <v>650</v>
      </c>
    </row>
    <row r="130" spans="8:8" x14ac:dyDescent="0.25">
      <c r="H130" t="s">
        <v>651</v>
      </c>
    </row>
    <row r="131" spans="8:8" x14ac:dyDescent="0.25">
      <c r="H131" t="s">
        <v>786</v>
      </c>
    </row>
    <row r="132" spans="8:8" x14ac:dyDescent="0.25">
      <c r="H132" t="s">
        <v>31</v>
      </c>
    </row>
    <row r="133" spans="8:8" x14ac:dyDescent="0.25">
      <c r="H133" t="s">
        <v>653</v>
      </c>
    </row>
    <row r="134" spans="8:8" x14ac:dyDescent="0.25">
      <c r="H134" t="s">
        <v>654</v>
      </c>
    </row>
    <row r="135" spans="8:8" x14ac:dyDescent="0.25">
      <c r="H135" t="s">
        <v>787</v>
      </c>
    </row>
    <row r="136" spans="8:8" x14ac:dyDescent="0.25">
      <c r="H136" t="s">
        <v>31</v>
      </c>
    </row>
    <row r="138" spans="8:8" x14ac:dyDescent="0.25">
      <c r="H138" t="s">
        <v>156</v>
      </c>
    </row>
    <row r="139" spans="8:8" x14ac:dyDescent="0.25">
      <c r="H139" t="s">
        <v>656</v>
      </c>
    </row>
    <row r="140" spans="8:8" x14ac:dyDescent="0.25">
      <c r="H140" t="s">
        <v>606</v>
      </c>
    </row>
    <row r="141" spans="8:8" x14ac:dyDescent="0.25">
      <c r="H141" t="s">
        <v>788</v>
      </c>
    </row>
    <row r="142" spans="8:8" x14ac:dyDescent="0.25">
      <c r="H142" t="s">
        <v>31</v>
      </c>
    </row>
    <row r="143" spans="8:8" x14ac:dyDescent="0.25">
      <c r="H143" t="s">
        <v>658</v>
      </c>
    </row>
    <row r="144" spans="8:8" x14ac:dyDescent="0.25">
      <c r="H144" t="s">
        <v>651</v>
      </c>
    </row>
    <row r="145" spans="8:8" x14ac:dyDescent="0.25">
      <c r="H145" t="s">
        <v>789</v>
      </c>
    </row>
    <row r="146" spans="8:8" x14ac:dyDescent="0.25">
      <c r="H146" t="s">
        <v>31</v>
      </c>
    </row>
    <row r="147" spans="8:8" x14ac:dyDescent="0.25">
      <c r="H147" t="s">
        <v>654</v>
      </c>
    </row>
    <row r="148" spans="8:8" x14ac:dyDescent="0.25">
      <c r="H148" t="s">
        <v>790</v>
      </c>
    </row>
    <row r="149" spans="8:8" x14ac:dyDescent="0.25">
      <c r="H149" t="s">
        <v>31</v>
      </c>
    </row>
    <row r="151" spans="8:8" x14ac:dyDescent="0.25">
      <c r="H151" t="s">
        <v>157</v>
      </c>
    </row>
    <row r="152" spans="8:8" x14ac:dyDescent="0.25">
      <c r="H152" t="s">
        <v>661</v>
      </c>
    </row>
    <row r="153" spans="8:8" x14ac:dyDescent="0.25">
      <c r="H153" t="s">
        <v>606</v>
      </c>
    </row>
    <row r="154" spans="8:8" x14ac:dyDescent="0.25">
      <c r="H154" t="s">
        <v>791</v>
      </c>
    </row>
    <row r="155" spans="8:8" x14ac:dyDescent="0.25">
      <c r="H155" t="s">
        <v>31</v>
      </c>
    </row>
    <row r="156" spans="8:8" x14ac:dyDescent="0.25">
      <c r="H156" t="s">
        <v>648</v>
      </c>
    </row>
    <row r="157" spans="8:8" x14ac:dyDescent="0.25">
      <c r="H157" t="s">
        <v>792</v>
      </c>
    </row>
    <row r="158" spans="8:8" x14ac:dyDescent="0.25">
      <c r="H158" t="s">
        <v>31</v>
      </c>
    </row>
    <row r="159" spans="8:8" x14ac:dyDescent="0.25">
      <c r="H159" t="s">
        <v>664</v>
      </c>
    </row>
    <row r="160" spans="8:8" x14ac:dyDescent="0.25">
      <c r="H160" t="s">
        <v>651</v>
      </c>
    </row>
    <row r="161" spans="8:8" x14ac:dyDescent="0.25">
      <c r="H161" t="s">
        <v>793</v>
      </c>
    </row>
    <row r="162" spans="8:8" x14ac:dyDescent="0.25">
      <c r="H162" t="s">
        <v>31</v>
      </c>
    </row>
    <row r="163" spans="8:8" x14ac:dyDescent="0.25">
      <c r="H163" t="s">
        <v>654</v>
      </c>
    </row>
    <row r="164" spans="8:8" x14ac:dyDescent="0.25">
      <c r="H164" t="s">
        <v>794</v>
      </c>
    </row>
    <row r="165" spans="8:8" x14ac:dyDescent="0.25">
      <c r="H165" t="s">
        <v>31</v>
      </c>
    </row>
    <row r="167" spans="8:8" x14ac:dyDescent="0.25">
      <c r="H167" t="s">
        <v>158</v>
      </c>
    </row>
    <row r="168" spans="8:8" x14ac:dyDescent="0.25">
      <c r="H168" t="s">
        <v>667</v>
      </c>
    </row>
    <row r="169" spans="8:8" x14ac:dyDescent="0.25">
      <c r="H169" t="s">
        <v>606</v>
      </c>
    </row>
    <row r="170" spans="8:8" x14ac:dyDescent="0.25">
      <c r="H170" t="s">
        <v>795</v>
      </c>
    </row>
    <row r="171" spans="8:8" x14ac:dyDescent="0.25">
      <c r="H171" t="s">
        <v>31</v>
      </c>
    </row>
    <row r="173" spans="8:8" x14ac:dyDescent="0.25">
      <c r="H173" t="s">
        <v>159</v>
      </c>
    </row>
    <row r="174" spans="8:8" x14ac:dyDescent="0.25">
      <c r="H174" t="s">
        <v>669</v>
      </c>
    </row>
    <row r="175" spans="8:8" x14ac:dyDescent="0.25">
      <c r="H175" t="s">
        <v>606</v>
      </c>
    </row>
    <row r="176" spans="8:8" x14ac:dyDescent="0.25">
      <c r="H176" t="s">
        <v>796</v>
      </c>
    </row>
    <row r="177" spans="8:8" x14ac:dyDescent="0.25">
      <c r="H177" t="s">
        <v>31</v>
      </c>
    </row>
    <row r="179" spans="8:8" x14ac:dyDescent="0.25">
      <c r="H179" t="s">
        <v>160</v>
      </c>
    </row>
    <row r="180" spans="8:8" x14ac:dyDescent="0.25">
      <c r="H180" t="s">
        <v>671</v>
      </c>
    </row>
    <row r="181" spans="8:8" x14ac:dyDescent="0.25">
      <c r="H181" t="s">
        <v>606</v>
      </c>
    </row>
    <row r="182" spans="8:8" x14ac:dyDescent="0.25">
      <c r="H182" t="s">
        <v>797</v>
      </c>
    </row>
    <row r="183" spans="8:8" x14ac:dyDescent="0.25">
      <c r="H183" t="s">
        <v>31</v>
      </c>
    </row>
    <row r="185" spans="8:8" x14ac:dyDescent="0.25">
      <c r="H185" t="s">
        <v>168</v>
      </c>
    </row>
    <row r="186" spans="8:8" x14ac:dyDescent="0.25">
      <c r="H186" t="s">
        <v>1073</v>
      </c>
    </row>
    <row r="187" spans="8:8" x14ac:dyDescent="0.25">
      <c r="H187" t="s">
        <v>606</v>
      </c>
    </row>
    <row r="188" spans="8:8" x14ac:dyDescent="0.25">
      <c r="H188" t="s">
        <v>1112</v>
      </c>
    </row>
    <row r="189" spans="8:8" x14ac:dyDescent="0.25">
      <c r="H189" t="s">
        <v>31</v>
      </c>
    </row>
    <row r="190" spans="8:8" x14ac:dyDescent="0.25">
      <c r="H190" t="s">
        <v>1075</v>
      </c>
    </row>
    <row r="191" spans="8:8" x14ac:dyDescent="0.25">
      <c r="H191" t="s">
        <v>648</v>
      </c>
    </row>
    <row r="192" spans="8:8" x14ac:dyDescent="0.25">
      <c r="H192" t="s">
        <v>1113</v>
      </c>
    </row>
    <row r="193" spans="8:8" x14ac:dyDescent="0.25">
      <c r="H193" t="s">
        <v>31</v>
      </c>
    </row>
    <row r="194" spans="8:8" x14ac:dyDescent="0.25">
      <c r="H194" t="s">
        <v>1077</v>
      </c>
    </row>
    <row r="195" spans="8:8" x14ac:dyDescent="0.25">
      <c r="H195" t="s">
        <v>651</v>
      </c>
    </row>
    <row r="196" spans="8:8" x14ac:dyDescent="0.25">
      <c r="H196" t="s">
        <v>1114</v>
      </c>
    </row>
    <row r="197" spans="8:8" x14ac:dyDescent="0.25">
      <c r="H197" t="s">
        <v>31</v>
      </c>
    </row>
    <row r="199" spans="8:8" x14ac:dyDescent="0.25">
      <c r="H199" t="s">
        <v>169</v>
      </c>
    </row>
    <row r="200" spans="8:8" x14ac:dyDescent="0.25">
      <c r="H200" t="s">
        <v>1079</v>
      </c>
    </row>
    <row r="201" spans="8:8" x14ac:dyDescent="0.25">
      <c r="H201" t="s">
        <v>606</v>
      </c>
    </row>
    <row r="202" spans="8:8" x14ac:dyDescent="0.25">
      <c r="H202" t="s">
        <v>1115</v>
      </c>
    </row>
    <row r="203" spans="8:8" x14ac:dyDescent="0.25">
      <c r="H203" t="s">
        <v>31</v>
      </c>
    </row>
    <row r="204" spans="8:8" x14ac:dyDescent="0.25">
      <c r="H204" t="s">
        <v>648</v>
      </c>
    </row>
    <row r="205" spans="8:8" x14ac:dyDescent="0.25">
      <c r="H205" t="s">
        <v>1116</v>
      </c>
    </row>
    <row r="206" spans="8:8" x14ac:dyDescent="0.25">
      <c r="H206" t="s">
        <v>31</v>
      </c>
    </row>
    <row r="207" spans="8:8" x14ac:dyDescent="0.25">
      <c r="H207" t="s">
        <v>1082</v>
      </c>
    </row>
    <row r="208" spans="8:8" x14ac:dyDescent="0.25">
      <c r="H208" t="s">
        <v>651</v>
      </c>
    </row>
    <row r="209" spans="8:8" x14ac:dyDescent="0.25">
      <c r="H209" t="s">
        <v>1117</v>
      </c>
    </row>
    <row r="210" spans="8:8" x14ac:dyDescent="0.25">
      <c r="H210" t="s">
        <v>31</v>
      </c>
    </row>
    <row r="211" spans="8:8" x14ac:dyDescent="0.25">
      <c r="H211" t="s">
        <v>654</v>
      </c>
    </row>
    <row r="212" spans="8:8" x14ac:dyDescent="0.25">
      <c r="H212" t="s">
        <v>1118</v>
      </c>
    </row>
    <row r="213" spans="8:8" x14ac:dyDescent="0.25">
      <c r="H213" t="s">
        <v>31</v>
      </c>
    </row>
    <row r="215" spans="8:8" x14ac:dyDescent="0.25">
      <c r="H215" t="s">
        <v>170</v>
      </c>
    </row>
    <row r="216" spans="8:8" x14ac:dyDescent="0.25">
      <c r="H216" t="s">
        <v>1085</v>
      </c>
    </row>
    <row r="217" spans="8:8" x14ac:dyDescent="0.25">
      <c r="H217" t="s">
        <v>606</v>
      </c>
    </row>
    <row r="218" spans="8:8" x14ac:dyDescent="0.25">
      <c r="H218" t="s">
        <v>1119</v>
      </c>
    </row>
    <row r="219" spans="8:8" x14ac:dyDescent="0.25">
      <c r="H219" t="s">
        <v>31</v>
      </c>
    </row>
    <row r="220" spans="8:8" x14ac:dyDescent="0.25">
      <c r="H220" t="s">
        <v>648</v>
      </c>
    </row>
    <row r="221" spans="8:8" x14ac:dyDescent="0.25">
      <c r="H221" t="s">
        <v>1120</v>
      </c>
    </row>
    <row r="222" spans="8:8" x14ac:dyDescent="0.25">
      <c r="H222" t="s">
        <v>31</v>
      </c>
    </row>
    <row r="224" spans="8:8" x14ac:dyDescent="0.25">
      <c r="H224" t="s">
        <v>171</v>
      </c>
    </row>
    <row r="225" spans="8:8" x14ac:dyDescent="0.25">
      <c r="H225" t="s">
        <v>1088</v>
      </c>
    </row>
    <row r="226" spans="8:8" x14ac:dyDescent="0.25">
      <c r="H226" t="s">
        <v>606</v>
      </c>
    </row>
    <row r="227" spans="8:8" x14ac:dyDescent="0.25">
      <c r="H227" t="s">
        <v>1121</v>
      </c>
    </row>
    <row r="228" spans="8:8" x14ac:dyDescent="0.25">
      <c r="H228" t="s">
        <v>31</v>
      </c>
    </row>
    <row r="229" spans="8:8" x14ac:dyDescent="0.25">
      <c r="H229" t="s">
        <v>648</v>
      </c>
    </row>
    <row r="230" spans="8:8" x14ac:dyDescent="0.25">
      <c r="H230" t="s">
        <v>1122</v>
      </c>
    </row>
    <row r="231" spans="8:8" x14ac:dyDescent="0.25">
      <c r="H231" t="s">
        <v>31</v>
      </c>
    </row>
    <row r="232" spans="8:8" x14ac:dyDescent="0.25">
      <c r="H232" t="s">
        <v>651</v>
      </c>
    </row>
    <row r="233" spans="8:8" x14ac:dyDescent="0.25">
      <c r="H233" t="s">
        <v>1123</v>
      </c>
    </row>
    <row r="234" spans="8:8" x14ac:dyDescent="0.25">
      <c r="H234" t="s">
        <v>31</v>
      </c>
    </row>
    <row r="235" spans="8:8" x14ac:dyDescent="0.25">
      <c r="H235" t="s">
        <v>654</v>
      </c>
    </row>
    <row r="236" spans="8:8" x14ac:dyDescent="0.25">
      <c r="H236" t="s">
        <v>1124</v>
      </c>
    </row>
    <row r="237" spans="8:8" x14ac:dyDescent="0.25">
      <c r="H237" t="s">
        <v>31</v>
      </c>
    </row>
    <row r="239" spans="8:8" x14ac:dyDescent="0.25">
      <c r="H239" t="s">
        <v>172</v>
      </c>
    </row>
    <row r="240" spans="8:8" x14ac:dyDescent="0.25">
      <c r="H240" t="s">
        <v>1093</v>
      </c>
    </row>
    <row r="241" spans="8:8" x14ac:dyDescent="0.25">
      <c r="H241" t="s">
        <v>606</v>
      </c>
    </row>
    <row r="242" spans="8:8" x14ac:dyDescent="0.25">
      <c r="H242" t="s">
        <v>1125</v>
      </c>
    </row>
    <row r="243" spans="8:8" x14ac:dyDescent="0.25">
      <c r="H243" t="s">
        <v>31</v>
      </c>
    </row>
    <row r="244" spans="8:8" x14ac:dyDescent="0.25">
      <c r="H244" t="s">
        <v>648</v>
      </c>
    </row>
    <row r="245" spans="8:8" x14ac:dyDescent="0.25">
      <c r="H245" t="s">
        <v>1126</v>
      </c>
    </row>
    <row r="246" spans="8:8" x14ac:dyDescent="0.25">
      <c r="H246" t="s">
        <v>31</v>
      </c>
    </row>
    <row r="248" spans="8:8" x14ac:dyDescent="0.25">
      <c r="H248" t="s">
        <v>173</v>
      </c>
    </row>
    <row r="249" spans="8:8" x14ac:dyDescent="0.25">
      <c r="H249" t="s">
        <v>1096</v>
      </c>
    </row>
    <row r="250" spans="8:8" x14ac:dyDescent="0.25">
      <c r="H250" t="s">
        <v>606</v>
      </c>
    </row>
    <row r="251" spans="8:8" x14ac:dyDescent="0.25">
      <c r="H251" t="s">
        <v>1127</v>
      </c>
    </row>
    <row r="252" spans="8:8" x14ac:dyDescent="0.25">
      <c r="H252" t="s">
        <v>31</v>
      </c>
    </row>
    <row r="254" spans="8:8" x14ac:dyDescent="0.25">
      <c r="H254" t="s">
        <v>174</v>
      </c>
    </row>
    <row r="255" spans="8:8" x14ac:dyDescent="0.25">
      <c r="H255" t="s">
        <v>1098</v>
      </c>
    </row>
    <row r="256" spans="8:8" x14ac:dyDescent="0.25">
      <c r="H256" t="s">
        <v>606</v>
      </c>
    </row>
    <row r="257" spans="8:8" x14ac:dyDescent="0.25">
      <c r="H257" t="s">
        <v>1128</v>
      </c>
    </row>
    <row r="258" spans="8:8" x14ac:dyDescent="0.25">
      <c r="H258" t="s">
        <v>31</v>
      </c>
    </row>
    <row r="260" spans="8:8" x14ac:dyDescent="0.25">
      <c r="H260" t="s">
        <v>175</v>
      </c>
    </row>
    <row r="261" spans="8:8" x14ac:dyDescent="0.25">
      <c r="H261" t="s">
        <v>1100</v>
      </c>
    </row>
    <row r="262" spans="8:8" x14ac:dyDescent="0.25">
      <c r="H262" t="s">
        <v>606</v>
      </c>
    </row>
    <row r="263" spans="8:8" x14ac:dyDescent="0.25">
      <c r="H263" t="s">
        <v>1129</v>
      </c>
    </row>
    <row r="264" spans="8:8" x14ac:dyDescent="0.25">
      <c r="H264" t="s">
        <v>31</v>
      </c>
    </row>
    <row r="266" spans="8:8" x14ac:dyDescent="0.25">
      <c r="H266" t="s">
        <v>178</v>
      </c>
    </row>
    <row r="267" spans="8:8" x14ac:dyDescent="0.25">
      <c r="H267" t="s">
        <v>1939</v>
      </c>
    </row>
    <row r="268" spans="8:8" x14ac:dyDescent="0.25">
      <c r="H268" t="s">
        <v>606</v>
      </c>
    </row>
    <row r="269" spans="8:8" x14ac:dyDescent="0.25">
      <c r="H269" t="s">
        <v>1950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1951</v>
      </c>
    </row>
    <row r="273" spans="8:8" x14ac:dyDescent="0.25">
      <c r="H273" t="s">
        <v>31</v>
      </c>
    </row>
    <row r="274" spans="8:8" x14ac:dyDescent="0.25">
      <c r="H274" t="s">
        <v>1942</v>
      </c>
    </row>
    <row r="275" spans="8:8" x14ac:dyDescent="0.25">
      <c r="H275" t="s">
        <v>651</v>
      </c>
    </row>
    <row r="276" spans="8:8" x14ac:dyDescent="0.25">
      <c r="H276" t="s">
        <v>1952</v>
      </c>
    </row>
    <row r="277" spans="8:8" x14ac:dyDescent="0.25">
      <c r="H277" t="s">
        <v>31</v>
      </c>
    </row>
    <row r="278" spans="8:8" x14ac:dyDescent="0.25">
      <c r="H278" t="s">
        <v>654</v>
      </c>
    </row>
    <row r="279" spans="8:8" x14ac:dyDescent="0.25">
      <c r="H279" t="s">
        <v>1953</v>
      </c>
    </row>
    <row r="280" spans="8:8" x14ac:dyDescent="0.25">
      <c r="H280" t="s">
        <v>31</v>
      </c>
    </row>
    <row r="282" spans="8:8" x14ac:dyDescent="0.25">
      <c r="H282" t="s">
        <v>179</v>
      </c>
    </row>
    <row r="283" spans="8:8" x14ac:dyDescent="0.25">
      <c r="H283" t="s">
        <v>1792</v>
      </c>
    </row>
    <row r="284" spans="8:8" x14ac:dyDescent="0.25">
      <c r="H284" t="s">
        <v>606</v>
      </c>
    </row>
    <row r="285" spans="8:8" x14ac:dyDescent="0.25">
      <c r="H285" t="s">
        <v>1866</v>
      </c>
    </row>
    <row r="286" spans="8:8" x14ac:dyDescent="0.25">
      <c r="H286" t="s">
        <v>31</v>
      </c>
    </row>
    <row r="287" spans="8:8" x14ac:dyDescent="0.25">
      <c r="H287" t="s">
        <v>648</v>
      </c>
    </row>
    <row r="288" spans="8:8" x14ac:dyDescent="0.25">
      <c r="H288" t="s">
        <v>1867</v>
      </c>
    </row>
    <row r="289" spans="8:8" x14ac:dyDescent="0.25">
      <c r="H289" t="s">
        <v>31</v>
      </c>
    </row>
    <row r="290" spans="8:8" x14ac:dyDescent="0.25">
      <c r="H290" t="s">
        <v>651</v>
      </c>
    </row>
    <row r="291" spans="8:8" x14ac:dyDescent="0.25">
      <c r="H291" t="s">
        <v>1868</v>
      </c>
    </row>
    <row r="292" spans="8:8" x14ac:dyDescent="0.25">
      <c r="H292" t="s">
        <v>31</v>
      </c>
    </row>
    <row r="293" spans="8:8" x14ac:dyDescent="0.25">
      <c r="H293" t="s">
        <v>654</v>
      </c>
    </row>
    <row r="294" spans="8:8" x14ac:dyDescent="0.25">
      <c r="H294" t="s">
        <v>1869</v>
      </c>
    </row>
    <row r="295" spans="8:8" x14ac:dyDescent="0.25">
      <c r="H295" t="s">
        <v>31</v>
      </c>
    </row>
    <row r="297" spans="8:8" x14ac:dyDescent="0.25">
      <c r="H297" t="s">
        <v>180</v>
      </c>
    </row>
    <row r="298" spans="8:8" x14ac:dyDescent="0.25">
      <c r="H298" t="s">
        <v>1797</v>
      </c>
    </row>
    <row r="299" spans="8:8" x14ac:dyDescent="0.25">
      <c r="H299" t="s">
        <v>606</v>
      </c>
    </row>
    <row r="300" spans="8:8" x14ac:dyDescent="0.25">
      <c r="H300" t="s">
        <v>1870</v>
      </c>
    </row>
    <row r="301" spans="8:8" x14ac:dyDescent="0.25">
      <c r="H301" t="s">
        <v>31</v>
      </c>
    </row>
    <row r="302" spans="8:8" x14ac:dyDescent="0.25">
      <c r="H302" t="s">
        <v>648</v>
      </c>
    </row>
    <row r="303" spans="8:8" x14ac:dyDescent="0.25">
      <c r="H303" t="s">
        <v>1871</v>
      </c>
    </row>
    <row r="304" spans="8:8" x14ac:dyDescent="0.25">
      <c r="H304" t="s">
        <v>31</v>
      </c>
    </row>
    <row r="305" spans="8:8" x14ac:dyDescent="0.25">
      <c r="H305" t="s">
        <v>651</v>
      </c>
    </row>
    <row r="306" spans="8:8" x14ac:dyDescent="0.25">
      <c r="H306" t="s">
        <v>1872</v>
      </c>
    </row>
    <row r="307" spans="8:8" x14ac:dyDescent="0.25">
      <c r="H307" t="s">
        <v>31</v>
      </c>
    </row>
    <row r="308" spans="8:8" x14ac:dyDescent="0.25">
      <c r="H308" t="s">
        <v>654</v>
      </c>
    </row>
    <row r="309" spans="8:8" x14ac:dyDescent="0.25">
      <c r="H309" t="s">
        <v>1873</v>
      </c>
    </row>
    <row r="310" spans="8:8" x14ac:dyDescent="0.25">
      <c r="H310" t="s">
        <v>31</v>
      </c>
    </row>
    <row r="312" spans="8:8" x14ac:dyDescent="0.25">
      <c r="H312" t="s">
        <v>181</v>
      </c>
    </row>
    <row r="313" spans="8:8" x14ac:dyDescent="0.25">
      <c r="H313" t="s">
        <v>1802</v>
      </c>
    </row>
    <row r="314" spans="8:8" x14ac:dyDescent="0.25">
      <c r="H314" t="s">
        <v>606</v>
      </c>
    </row>
    <row r="315" spans="8:8" x14ac:dyDescent="0.25">
      <c r="H315" t="s">
        <v>1874</v>
      </c>
    </row>
    <row r="316" spans="8:8" x14ac:dyDescent="0.25">
      <c r="H316" t="s">
        <v>31</v>
      </c>
    </row>
    <row r="317" spans="8:8" x14ac:dyDescent="0.25">
      <c r="H317" t="s">
        <v>648</v>
      </c>
    </row>
    <row r="318" spans="8:8" x14ac:dyDescent="0.25">
      <c r="H318" t="s">
        <v>1875</v>
      </c>
    </row>
    <row r="319" spans="8:8" x14ac:dyDescent="0.25">
      <c r="H319" t="s">
        <v>31</v>
      </c>
    </row>
    <row r="320" spans="8:8" x14ac:dyDescent="0.25">
      <c r="H320" t="s">
        <v>651</v>
      </c>
    </row>
    <row r="321" spans="8:8" x14ac:dyDescent="0.25">
      <c r="H321" t="s">
        <v>1876</v>
      </c>
    </row>
    <row r="322" spans="8:8" x14ac:dyDescent="0.25">
      <c r="H322" t="s">
        <v>31</v>
      </c>
    </row>
    <row r="323" spans="8:8" x14ac:dyDescent="0.25">
      <c r="H323" t="s">
        <v>654</v>
      </c>
    </row>
    <row r="324" spans="8:8" x14ac:dyDescent="0.25">
      <c r="H324" t="s">
        <v>1877</v>
      </c>
    </row>
    <row r="325" spans="8:8" x14ac:dyDescent="0.25">
      <c r="H325" t="s">
        <v>31</v>
      </c>
    </row>
    <row r="327" spans="8:8" x14ac:dyDescent="0.25">
      <c r="H327" t="s">
        <v>182</v>
      </c>
    </row>
    <row r="328" spans="8:8" x14ac:dyDescent="0.25">
      <c r="H328" t="s">
        <v>1807</v>
      </c>
    </row>
    <row r="329" spans="8:8" x14ac:dyDescent="0.25">
      <c r="H329" t="s">
        <v>606</v>
      </c>
    </row>
    <row r="330" spans="8:8" x14ac:dyDescent="0.25">
      <c r="H330" t="s">
        <v>1878</v>
      </c>
    </row>
    <row r="331" spans="8:8" x14ac:dyDescent="0.25">
      <c r="H331" t="s">
        <v>31</v>
      </c>
    </row>
    <row r="333" spans="8:8" x14ac:dyDescent="0.25">
      <c r="H333" t="s">
        <v>183</v>
      </c>
    </row>
    <row r="334" spans="8:8" x14ac:dyDescent="0.25">
      <c r="H334" t="s">
        <v>1809</v>
      </c>
    </row>
    <row r="335" spans="8:8" x14ac:dyDescent="0.25">
      <c r="H335" t="s">
        <v>606</v>
      </c>
    </row>
    <row r="336" spans="8:8" x14ac:dyDescent="0.25">
      <c r="H336" t="s">
        <v>1879</v>
      </c>
    </row>
    <row r="337" spans="8:8" x14ac:dyDescent="0.25">
      <c r="H337" t="s">
        <v>31</v>
      </c>
    </row>
    <row r="339" spans="8:8" x14ac:dyDescent="0.25">
      <c r="H339" t="s">
        <v>185</v>
      </c>
    </row>
    <row r="340" spans="8:8" x14ac:dyDescent="0.25">
      <c r="H340" t="s">
        <v>1813</v>
      </c>
    </row>
    <row r="341" spans="8:8" x14ac:dyDescent="0.25">
      <c r="H341" t="s">
        <v>606</v>
      </c>
    </row>
    <row r="342" spans="8:8" x14ac:dyDescent="0.25">
      <c r="H342" t="s">
        <v>1880</v>
      </c>
    </row>
    <row r="343" spans="8:8" x14ac:dyDescent="0.25">
      <c r="H343" t="s">
        <v>31</v>
      </c>
    </row>
    <row r="344" spans="8:8" x14ac:dyDescent="0.25">
      <c r="H344" t="s">
        <v>648</v>
      </c>
    </row>
    <row r="345" spans="8:8" x14ac:dyDescent="0.25">
      <c r="H345" t="s">
        <v>1881</v>
      </c>
    </row>
    <row r="346" spans="8:8" x14ac:dyDescent="0.25">
      <c r="H346" t="s">
        <v>31</v>
      </c>
    </row>
    <row r="347" spans="8:8" x14ac:dyDescent="0.25">
      <c r="H347" t="s">
        <v>651</v>
      </c>
    </row>
    <row r="348" spans="8:8" x14ac:dyDescent="0.25">
      <c r="H348" t="s">
        <v>1882</v>
      </c>
    </row>
    <row r="349" spans="8:8" x14ac:dyDescent="0.25">
      <c r="H349" t="s">
        <v>31</v>
      </c>
    </row>
    <row r="350" spans="8:8" x14ac:dyDescent="0.25">
      <c r="H350" t="s">
        <v>654</v>
      </c>
    </row>
    <row r="351" spans="8:8" x14ac:dyDescent="0.25">
      <c r="H351" t="s">
        <v>1883</v>
      </c>
    </row>
    <row r="352" spans="8:8" x14ac:dyDescent="0.25">
      <c r="H352" t="s">
        <v>31</v>
      </c>
    </row>
    <row r="354" spans="8:8" x14ac:dyDescent="0.25">
      <c r="H354" t="s">
        <v>186</v>
      </c>
    </row>
    <row r="355" spans="8:8" x14ac:dyDescent="0.25">
      <c r="H355" t="s">
        <v>1818</v>
      </c>
    </row>
    <row r="356" spans="8:8" x14ac:dyDescent="0.25">
      <c r="H356" t="s">
        <v>606</v>
      </c>
    </row>
    <row r="357" spans="8:8" x14ac:dyDescent="0.25">
      <c r="H357" t="s">
        <v>1884</v>
      </c>
    </row>
    <row r="358" spans="8:8" x14ac:dyDescent="0.25">
      <c r="H358" t="s">
        <v>31</v>
      </c>
    </row>
    <row r="359" spans="8:8" x14ac:dyDescent="0.25">
      <c r="H359" t="s">
        <v>648</v>
      </c>
    </row>
    <row r="360" spans="8:8" x14ac:dyDescent="0.25">
      <c r="H360" t="s">
        <v>1885</v>
      </c>
    </row>
    <row r="361" spans="8:8" x14ac:dyDescent="0.25">
      <c r="H361" t="s">
        <v>31</v>
      </c>
    </row>
    <row r="362" spans="8:8" x14ac:dyDescent="0.25">
      <c r="H362" t="s">
        <v>651</v>
      </c>
    </row>
    <row r="363" spans="8:8" x14ac:dyDescent="0.25">
      <c r="H363" t="s">
        <v>1886</v>
      </c>
    </row>
    <row r="364" spans="8:8" x14ac:dyDescent="0.25">
      <c r="H364" t="s">
        <v>31</v>
      </c>
    </row>
    <row r="365" spans="8:8" x14ac:dyDescent="0.25">
      <c r="H365" t="s">
        <v>654</v>
      </c>
    </row>
    <row r="366" spans="8:8" x14ac:dyDescent="0.25">
      <c r="H366" t="s">
        <v>1887</v>
      </c>
    </row>
    <row r="367" spans="8:8" x14ac:dyDescent="0.25">
      <c r="H367" t="s">
        <v>31</v>
      </c>
    </row>
    <row r="369" spans="8:8" x14ac:dyDescent="0.25">
      <c r="H369" t="s">
        <v>187</v>
      </c>
    </row>
    <row r="370" spans="8:8" x14ac:dyDescent="0.25">
      <c r="H370" t="s">
        <v>1823</v>
      </c>
    </row>
    <row r="371" spans="8:8" x14ac:dyDescent="0.25">
      <c r="H371" t="s">
        <v>606</v>
      </c>
    </row>
    <row r="372" spans="8:8" x14ac:dyDescent="0.25">
      <c r="H372" t="s">
        <v>1888</v>
      </c>
    </row>
    <row r="373" spans="8:8" x14ac:dyDescent="0.25">
      <c r="H373" t="s">
        <v>31</v>
      </c>
    </row>
    <row r="374" spans="8:8" x14ac:dyDescent="0.25">
      <c r="H374" t="s">
        <v>648</v>
      </c>
    </row>
    <row r="375" spans="8:8" x14ac:dyDescent="0.25">
      <c r="H375" t="s">
        <v>1889</v>
      </c>
    </row>
    <row r="376" spans="8:8" x14ac:dyDescent="0.25">
      <c r="H376" t="s">
        <v>31</v>
      </c>
    </row>
    <row r="377" spans="8:8" x14ac:dyDescent="0.25">
      <c r="H377" t="s">
        <v>651</v>
      </c>
    </row>
    <row r="378" spans="8:8" x14ac:dyDescent="0.25">
      <c r="H378" t="s">
        <v>1890</v>
      </c>
    </row>
    <row r="379" spans="8:8" x14ac:dyDescent="0.25">
      <c r="H379" t="s">
        <v>31</v>
      </c>
    </row>
    <row r="380" spans="8:8" x14ac:dyDescent="0.25">
      <c r="H380" t="s">
        <v>654</v>
      </c>
    </row>
    <row r="381" spans="8:8" x14ac:dyDescent="0.25">
      <c r="H381" t="s">
        <v>1891</v>
      </c>
    </row>
    <row r="382" spans="8:8" x14ac:dyDescent="0.25">
      <c r="H382" t="s">
        <v>31</v>
      </c>
    </row>
    <row r="384" spans="8:8" x14ac:dyDescent="0.25">
      <c r="H384" t="s">
        <v>188</v>
      </c>
    </row>
    <row r="385" spans="8:8" x14ac:dyDescent="0.25">
      <c r="H385" t="s">
        <v>1828</v>
      </c>
    </row>
    <row r="386" spans="8:8" x14ac:dyDescent="0.25">
      <c r="H386" t="s">
        <v>606</v>
      </c>
    </row>
    <row r="387" spans="8:8" x14ac:dyDescent="0.25">
      <c r="H387" t="s">
        <v>1892</v>
      </c>
    </row>
    <row r="388" spans="8:8" x14ac:dyDescent="0.25">
      <c r="H388" t="s">
        <v>31</v>
      </c>
    </row>
    <row r="390" spans="8:8" x14ac:dyDescent="0.25">
      <c r="H390" t="s">
        <v>189</v>
      </c>
    </row>
    <row r="391" spans="8:8" x14ac:dyDescent="0.25">
      <c r="H391" t="s">
        <v>1830</v>
      </c>
    </row>
    <row r="392" spans="8:8" x14ac:dyDescent="0.25">
      <c r="H392" t="s">
        <v>606</v>
      </c>
    </row>
    <row r="393" spans="8:8" x14ac:dyDescent="0.25">
      <c r="H393" t="s">
        <v>1893</v>
      </c>
    </row>
    <row r="394" spans="8:8" x14ac:dyDescent="0.25">
      <c r="H394" t="s">
        <v>31</v>
      </c>
    </row>
    <row r="396" spans="8:8" x14ac:dyDescent="0.25">
      <c r="H396" t="s">
        <v>191</v>
      </c>
    </row>
    <row r="397" spans="8:8" x14ac:dyDescent="0.25">
      <c r="H397" t="s">
        <v>1392</v>
      </c>
    </row>
    <row r="398" spans="8:8" x14ac:dyDescent="0.25">
      <c r="H398" t="s">
        <v>606</v>
      </c>
    </row>
    <row r="399" spans="8:8" x14ac:dyDescent="0.25">
      <c r="H399" t="s">
        <v>1489</v>
      </c>
    </row>
    <row r="400" spans="8:8" x14ac:dyDescent="0.25">
      <c r="H400" t="s">
        <v>31</v>
      </c>
    </row>
    <row r="401" spans="8:8" x14ac:dyDescent="0.25">
      <c r="H401" t="s">
        <v>648</v>
      </c>
    </row>
    <row r="402" spans="8:8" x14ac:dyDescent="0.25">
      <c r="H402" t="s">
        <v>1490</v>
      </c>
    </row>
    <row r="403" spans="8:8" x14ac:dyDescent="0.25">
      <c r="H403" t="s">
        <v>31</v>
      </c>
    </row>
    <row r="404" spans="8:8" x14ac:dyDescent="0.25">
      <c r="H404" t="s">
        <v>651</v>
      </c>
    </row>
    <row r="405" spans="8:8" x14ac:dyDescent="0.25">
      <c r="H405" t="s">
        <v>1491</v>
      </c>
    </row>
    <row r="406" spans="8:8" x14ac:dyDescent="0.25">
      <c r="H406" t="s">
        <v>31</v>
      </c>
    </row>
    <row r="407" spans="8:8" x14ac:dyDescent="0.25">
      <c r="H407" t="s">
        <v>654</v>
      </c>
    </row>
    <row r="408" spans="8:8" x14ac:dyDescent="0.25">
      <c r="H408" t="s">
        <v>1492</v>
      </c>
    </row>
    <row r="409" spans="8:8" x14ac:dyDescent="0.25">
      <c r="H409" t="s">
        <v>31</v>
      </c>
    </row>
    <row r="411" spans="8:8" x14ac:dyDescent="0.25">
      <c r="H411" t="s">
        <v>192</v>
      </c>
    </row>
    <row r="412" spans="8:8" x14ac:dyDescent="0.25">
      <c r="H412" t="s">
        <v>1397</v>
      </c>
    </row>
    <row r="413" spans="8:8" x14ac:dyDescent="0.25">
      <c r="H413" t="s">
        <v>606</v>
      </c>
    </row>
    <row r="414" spans="8:8" x14ac:dyDescent="0.25">
      <c r="H414" t="s">
        <v>1493</v>
      </c>
    </row>
    <row r="415" spans="8:8" x14ac:dyDescent="0.25">
      <c r="H415" t="s">
        <v>31</v>
      </c>
    </row>
    <row r="416" spans="8:8" x14ac:dyDescent="0.25">
      <c r="H416" t="s">
        <v>648</v>
      </c>
    </row>
    <row r="417" spans="8:8" x14ac:dyDescent="0.25">
      <c r="H417" t="s">
        <v>1494</v>
      </c>
    </row>
    <row r="418" spans="8:8" x14ac:dyDescent="0.25">
      <c r="H418" t="s">
        <v>31</v>
      </c>
    </row>
    <row r="419" spans="8:8" x14ac:dyDescent="0.25">
      <c r="H419" t="s">
        <v>651</v>
      </c>
    </row>
    <row r="420" spans="8:8" x14ac:dyDescent="0.25">
      <c r="H420" t="s">
        <v>1495</v>
      </c>
    </row>
    <row r="421" spans="8:8" x14ac:dyDescent="0.25">
      <c r="H421" t="s">
        <v>31</v>
      </c>
    </row>
    <row r="422" spans="8:8" x14ac:dyDescent="0.25">
      <c r="H422" t="s">
        <v>654</v>
      </c>
    </row>
    <row r="423" spans="8:8" x14ac:dyDescent="0.25">
      <c r="H423" t="s">
        <v>1496</v>
      </c>
    </row>
    <row r="424" spans="8:8" x14ac:dyDescent="0.25">
      <c r="H424" t="s">
        <v>31</v>
      </c>
    </row>
    <row r="426" spans="8:8" x14ac:dyDescent="0.25">
      <c r="H426" t="s">
        <v>193</v>
      </c>
    </row>
    <row r="427" spans="8:8" x14ac:dyDescent="0.25">
      <c r="H427" t="s">
        <v>1402</v>
      </c>
    </row>
    <row r="428" spans="8:8" x14ac:dyDescent="0.25">
      <c r="H428" t="s">
        <v>606</v>
      </c>
    </row>
    <row r="429" spans="8:8" x14ac:dyDescent="0.25">
      <c r="H429" t="s">
        <v>1497</v>
      </c>
    </row>
    <row r="430" spans="8:8" x14ac:dyDescent="0.25">
      <c r="H430" t="s">
        <v>31</v>
      </c>
    </row>
    <row r="431" spans="8:8" x14ac:dyDescent="0.25">
      <c r="H431" t="s">
        <v>648</v>
      </c>
    </row>
    <row r="432" spans="8:8" x14ac:dyDescent="0.25">
      <c r="H432" t="s">
        <v>1498</v>
      </c>
    </row>
    <row r="433" spans="8:8" x14ac:dyDescent="0.25">
      <c r="H433" t="s">
        <v>31</v>
      </c>
    </row>
    <row r="435" spans="8:8" x14ac:dyDescent="0.25">
      <c r="H435" t="s">
        <v>194</v>
      </c>
    </row>
    <row r="436" spans="8:8" x14ac:dyDescent="0.25">
      <c r="H436" t="s">
        <v>1405</v>
      </c>
    </row>
    <row r="437" spans="8:8" x14ac:dyDescent="0.25">
      <c r="H437" t="s">
        <v>606</v>
      </c>
    </row>
    <row r="438" spans="8:8" x14ac:dyDescent="0.25">
      <c r="H438" t="s">
        <v>1499</v>
      </c>
    </row>
    <row r="439" spans="8:8" x14ac:dyDescent="0.25">
      <c r="H439" t="s">
        <v>31</v>
      </c>
    </row>
    <row r="441" spans="8:8" x14ac:dyDescent="0.25">
      <c r="H441" t="s">
        <v>195</v>
      </c>
    </row>
    <row r="442" spans="8:8" x14ac:dyDescent="0.25">
      <c r="H442" t="s">
        <v>1407</v>
      </c>
    </row>
    <row r="443" spans="8:8" x14ac:dyDescent="0.25">
      <c r="H443" t="s">
        <v>606</v>
      </c>
    </row>
    <row r="444" spans="8:8" x14ac:dyDescent="0.25">
      <c r="H444" t="s">
        <v>1500</v>
      </c>
    </row>
    <row r="445" spans="8:8" x14ac:dyDescent="0.25">
      <c r="H445" t="s">
        <v>31</v>
      </c>
    </row>
    <row r="447" spans="8:8" x14ac:dyDescent="0.25">
      <c r="H447" t="s">
        <v>196</v>
      </c>
    </row>
    <row r="448" spans="8:8" x14ac:dyDescent="0.25">
      <c r="H448" t="s">
        <v>1409</v>
      </c>
    </row>
    <row r="449" spans="8:8" x14ac:dyDescent="0.25">
      <c r="H449" t="s">
        <v>606</v>
      </c>
    </row>
    <row r="450" spans="8:8" x14ac:dyDescent="0.25">
      <c r="H450" t="s">
        <v>1501</v>
      </c>
    </row>
    <row r="451" spans="8:8" x14ac:dyDescent="0.25">
      <c r="H451" t="s">
        <v>31</v>
      </c>
    </row>
    <row r="452" spans="8:8" x14ac:dyDescent="0.25">
      <c r="H452" t="s">
        <v>648</v>
      </c>
    </row>
    <row r="453" spans="8:8" x14ac:dyDescent="0.25">
      <c r="H453" t="s">
        <v>1502</v>
      </c>
    </row>
    <row r="454" spans="8:8" x14ac:dyDescent="0.25">
      <c r="H454" t="s">
        <v>31</v>
      </c>
    </row>
    <row r="456" spans="8:8" x14ac:dyDescent="0.25">
      <c r="H456" t="s">
        <v>197</v>
      </c>
    </row>
    <row r="457" spans="8:8" x14ac:dyDescent="0.25">
      <c r="H457" t="s">
        <v>1412</v>
      </c>
    </row>
    <row r="458" spans="8:8" x14ac:dyDescent="0.25">
      <c r="H458" t="s">
        <v>606</v>
      </c>
    </row>
    <row r="459" spans="8:8" x14ac:dyDescent="0.25">
      <c r="H459" t="s">
        <v>1503</v>
      </c>
    </row>
    <row r="460" spans="8:8" x14ac:dyDescent="0.25">
      <c r="H460" t="s">
        <v>31</v>
      </c>
    </row>
    <row r="461" spans="8:8" x14ac:dyDescent="0.25">
      <c r="H461" t="s">
        <v>648</v>
      </c>
    </row>
    <row r="462" spans="8:8" x14ac:dyDescent="0.25">
      <c r="H462" t="s">
        <v>1504</v>
      </c>
    </row>
    <row r="463" spans="8:8" x14ac:dyDescent="0.25">
      <c r="H463" t="s">
        <v>31</v>
      </c>
    </row>
    <row r="465" spans="8:8" x14ac:dyDescent="0.25">
      <c r="H465" t="s">
        <v>198</v>
      </c>
    </row>
    <row r="466" spans="8:8" x14ac:dyDescent="0.25">
      <c r="H466" t="s">
        <v>1415</v>
      </c>
    </row>
    <row r="467" spans="8:8" x14ac:dyDescent="0.25">
      <c r="H467" t="s">
        <v>606</v>
      </c>
    </row>
    <row r="468" spans="8:8" x14ac:dyDescent="0.25">
      <c r="H468" t="s">
        <v>1505</v>
      </c>
    </row>
    <row r="469" spans="8:8" x14ac:dyDescent="0.25">
      <c r="H469" t="s">
        <v>31</v>
      </c>
    </row>
    <row r="470" spans="8:8" x14ac:dyDescent="0.25">
      <c r="H470" t="s">
        <v>648</v>
      </c>
    </row>
    <row r="471" spans="8:8" x14ac:dyDescent="0.25">
      <c r="H471" t="s">
        <v>1506</v>
      </c>
    </row>
    <row r="472" spans="8:8" x14ac:dyDescent="0.25">
      <c r="H472" t="s">
        <v>31</v>
      </c>
    </row>
    <row r="473" spans="8:8" x14ac:dyDescent="0.25">
      <c r="H473" t="s">
        <v>651</v>
      </c>
    </row>
    <row r="474" spans="8:8" x14ac:dyDescent="0.25">
      <c r="H474" t="s">
        <v>1507</v>
      </c>
    </row>
    <row r="475" spans="8:8" x14ac:dyDescent="0.25">
      <c r="H475" t="s">
        <v>31</v>
      </c>
    </row>
    <row r="476" spans="8:8" x14ac:dyDescent="0.25">
      <c r="H476" t="s">
        <v>654</v>
      </c>
    </row>
    <row r="477" spans="8:8" x14ac:dyDescent="0.25">
      <c r="H477" t="s">
        <v>1508</v>
      </c>
    </row>
    <row r="478" spans="8:8" x14ac:dyDescent="0.25">
      <c r="H478" t="s">
        <v>31</v>
      </c>
    </row>
    <row r="480" spans="8:8" x14ac:dyDescent="0.25">
      <c r="H480" t="s">
        <v>199</v>
      </c>
    </row>
    <row r="481" spans="8:8" x14ac:dyDescent="0.25">
      <c r="H481" t="s">
        <v>1420</v>
      </c>
    </row>
    <row r="482" spans="8:8" x14ac:dyDescent="0.25">
      <c r="H482" t="s">
        <v>606</v>
      </c>
    </row>
    <row r="483" spans="8:8" x14ac:dyDescent="0.25">
      <c r="H483" t="s">
        <v>1509</v>
      </c>
    </row>
    <row r="484" spans="8:8" x14ac:dyDescent="0.25">
      <c r="H484" t="s">
        <v>31</v>
      </c>
    </row>
    <row r="485" spans="8:8" x14ac:dyDescent="0.25">
      <c r="H485" t="s">
        <v>648</v>
      </c>
    </row>
    <row r="486" spans="8:8" x14ac:dyDescent="0.25">
      <c r="H486" t="s">
        <v>1510</v>
      </c>
    </row>
    <row r="487" spans="8:8" x14ac:dyDescent="0.25">
      <c r="H487" t="s">
        <v>31</v>
      </c>
    </row>
    <row r="488" spans="8:8" x14ac:dyDescent="0.25">
      <c r="H488" t="s">
        <v>651</v>
      </c>
    </row>
    <row r="489" spans="8:8" x14ac:dyDescent="0.25">
      <c r="H489" t="s">
        <v>1511</v>
      </c>
    </row>
    <row r="490" spans="8:8" x14ac:dyDescent="0.25">
      <c r="H490" t="s">
        <v>31</v>
      </c>
    </row>
    <row r="491" spans="8:8" x14ac:dyDescent="0.25">
      <c r="H491" t="s">
        <v>654</v>
      </c>
    </row>
    <row r="492" spans="8:8" x14ac:dyDescent="0.25">
      <c r="H492" t="s">
        <v>1512</v>
      </c>
    </row>
    <row r="493" spans="8:8" x14ac:dyDescent="0.25">
      <c r="H493" t="s">
        <v>31</v>
      </c>
    </row>
    <row r="495" spans="8:8" x14ac:dyDescent="0.25">
      <c r="H495" t="s">
        <v>200</v>
      </c>
    </row>
    <row r="496" spans="8:8" x14ac:dyDescent="0.25">
      <c r="H496" t="s">
        <v>1425</v>
      </c>
    </row>
    <row r="497" spans="8:8" x14ac:dyDescent="0.25">
      <c r="H497" t="s">
        <v>606</v>
      </c>
    </row>
    <row r="498" spans="8:8" x14ac:dyDescent="0.25">
      <c r="H498" t="s">
        <v>1513</v>
      </c>
    </row>
    <row r="499" spans="8:8" x14ac:dyDescent="0.25">
      <c r="H499" t="s">
        <v>31</v>
      </c>
    </row>
    <row r="500" spans="8:8" x14ac:dyDescent="0.25">
      <c r="H500" t="s">
        <v>648</v>
      </c>
    </row>
    <row r="501" spans="8:8" x14ac:dyDescent="0.25">
      <c r="H501" t="s">
        <v>1514</v>
      </c>
    </row>
    <row r="502" spans="8:8" x14ac:dyDescent="0.25">
      <c r="H502" t="s">
        <v>31</v>
      </c>
    </row>
    <row r="504" spans="8:8" x14ac:dyDescent="0.25">
      <c r="H504" t="s">
        <v>201</v>
      </c>
    </row>
    <row r="505" spans="8:8" x14ac:dyDescent="0.25">
      <c r="H505" t="s">
        <v>1428</v>
      </c>
    </row>
    <row r="506" spans="8:8" x14ac:dyDescent="0.25">
      <c r="H506" t="s">
        <v>606</v>
      </c>
    </row>
    <row r="507" spans="8:8" x14ac:dyDescent="0.25">
      <c r="H507" t="s">
        <v>1515</v>
      </c>
    </row>
    <row r="508" spans="8:8" x14ac:dyDescent="0.25">
      <c r="H508" t="s">
        <v>31</v>
      </c>
    </row>
    <row r="510" spans="8:8" x14ac:dyDescent="0.25">
      <c r="H510" t="s">
        <v>202</v>
      </c>
    </row>
    <row r="511" spans="8:8" x14ac:dyDescent="0.25">
      <c r="H511" t="s">
        <v>1430</v>
      </c>
    </row>
    <row r="512" spans="8:8" x14ac:dyDescent="0.25">
      <c r="H512" t="s">
        <v>606</v>
      </c>
    </row>
    <row r="513" spans="8:8" x14ac:dyDescent="0.25">
      <c r="H513" t="s">
        <v>1516</v>
      </c>
    </row>
    <row r="514" spans="8:8" x14ac:dyDescent="0.25">
      <c r="H514" t="s">
        <v>31</v>
      </c>
    </row>
    <row r="516" spans="8:8" x14ac:dyDescent="0.25">
      <c r="H516" t="s">
        <v>203</v>
      </c>
    </row>
    <row r="517" spans="8:8" x14ac:dyDescent="0.25">
      <c r="H517" t="s">
        <v>1432</v>
      </c>
    </row>
    <row r="518" spans="8:8" x14ac:dyDescent="0.25">
      <c r="H518" t="s">
        <v>606</v>
      </c>
    </row>
    <row r="519" spans="8:8" x14ac:dyDescent="0.25">
      <c r="H519" t="s">
        <v>1517</v>
      </c>
    </row>
    <row r="520" spans="8:8" x14ac:dyDescent="0.25">
      <c r="H520" t="s">
        <v>31</v>
      </c>
    </row>
    <row r="521" spans="8:8" x14ac:dyDescent="0.25">
      <c r="H521" t="s">
        <v>648</v>
      </c>
    </row>
    <row r="522" spans="8:8" x14ac:dyDescent="0.25">
      <c r="H522" t="s">
        <v>1518</v>
      </c>
    </row>
    <row r="523" spans="8:8" x14ac:dyDescent="0.25">
      <c r="H523" t="s">
        <v>31</v>
      </c>
    </row>
    <row r="525" spans="8:8" x14ac:dyDescent="0.25">
      <c r="H525" t="s">
        <v>204</v>
      </c>
    </row>
    <row r="526" spans="8:8" x14ac:dyDescent="0.25">
      <c r="H526" t="s">
        <v>1435</v>
      </c>
    </row>
    <row r="527" spans="8:8" x14ac:dyDescent="0.25">
      <c r="H527" t="s">
        <v>606</v>
      </c>
    </row>
    <row r="528" spans="8:8" x14ac:dyDescent="0.25">
      <c r="H528" t="s">
        <v>1519</v>
      </c>
    </row>
    <row r="529" spans="8:8" x14ac:dyDescent="0.25">
      <c r="H529" t="s">
        <v>31</v>
      </c>
    </row>
    <row r="530" spans="8:8" x14ac:dyDescent="0.25">
      <c r="H530" t="s">
        <v>648</v>
      </c>
    </row>
    <row r="531" spans="8:8" x14ac:dyDescent="0.25">
      <c r="H531" t="s">
        <v>1520</v>
      </c>
    </row>
    <row r="532" spans="8:8" x14ac:dyDescent="0.25">
      <c r="H532" t="s">
        <v>31</v>
      </c>
    </row>
    <row r="534" spans="8:8" x14ac:dyDescent="0.25">
      <c r="H534" t="s">
        <v>205</v>
      </c>
    </row>
    <row r="535" spans="8:8" x14ac:dyDescent="0.25">
      <c r="H535" t="s">
        <v>1438</v>
      </c>
    </row>
    <row r="536" spans="8:8" x14ac:dyDescent="0.25">
      <c r="H536" t="s">
        <v>606</v>
      </c>
    </row>
    <row r="537" spans="8:8" x14ac:dyDescent="0.25">
      <c r="H537" t="s">
        <v>1521</v>
      </c>
    </row>
    <row r="538" spans="8:8" x14ac:dyDescent="0.25">
      <c r="H538" t="s">
        <v>31</v>
      </c>
    </row>
    <row r="539" spans="8:8" x14ac:dyDescent="0.25">
      <c r="H539" t="s">
        <v>648</v>
      </c>
    </row>
    <row r="540" spans="8:8" x14ac:dyDescent="0.25">
      <c r="H540" t="s">
        <v>1522</v>
      </c>
    </row>
    <row r="541" spans="8:8" x14ac:dyDescent="0.25">
      <c r="H541" t="s">
        <v>31</v>
      </c>
    </row>
    <row r="542" spans="8:8" x14ac:dyDescent="0.25">
      <c r="H542" t="s">
        <v>651</v>
      </c>
    </row>
    <row r="543" spans="8:8" x14ac:dyDescent="0.25">
      <c r="H543" t="s">
        <v>1523</v>
      </c>
    </row>
    <row r="544" spans="8:8" x14ac:dyDescent="0.25">
      <c r="H544" t="s">
        <v>31</v>
      </c>
    </row>
    <row r="545" spans="8:8" x14ac:dyDescent="0.25">
      <c r="H545" t="s">
        <v>654</v>
      </c>
    </row>
    <row r="546" spans="8:8" x14ac:dyDescent="0.25">
      <c r="H546" t="s">
        <v>1524</v>
      </c>
    </row>
    <row r="547" spans="8:8" x14ac:dyDescent="0.25">
      <c r="H547" t="s">
        <v>31</v>
      </c>
    </row>
    <row r="549" spans="8:8" x14ac:dyDescent="0.25">
      <c r="H549" t="s">
        <v>207</v>
      </c>
    </row>
    <row r="550" spans="8:8" x14ac:dyDescent="0.25">
      <c r="H550" t="s">
        <v>1443</v>
      </c>
    </row>
    <row r="551" spans="8:8" x14ac:dyDescent="0.25">
      <c r="H551" t="s">
        <v>606</v>
      </c>
    </row>
    <row r="552" spans="8:8" x14ac:dyDescent="0.25">
      <c r="H552" t="s">
        <v>1525</v>
      </c>
    </row>
    <row r="553" spans="8:8" x14ac:dyDescent="0.25">
      <c r="H553" t="s">
        <v>31</v>
      </c>
    </row>
    <row r="554" spans="8:8" x14ac:dyDescent="0.25">
      <c r="H554" t="s">
        <v>648</v>
      </c>
    </row>
    <row r="555" spans="8:8" x14ac:dyDescent="0.25">
      <c r="H555" t="s">
        <v>1526</v>
      </c>
    </row>
    <row r="556" spans="8:8" x14ac:dyDescent="0.25">
      <c r="H556" t="s">
        <v>31</v>
      </c>
    </row>
    <row r="557" spans="8:8" x14ac:dyDescent="0.25">
      <c r="H557" t="s">
        <v>651</v>
      </c>
    </row>
    <row r="558" spans="8:8" x14ac:dyDescent="0.25">
      <c r="H558" t="s">
        <v>1527</v>
      </c>
    </row>
    <row r="559" spans="8:8" x14ac:dyDescent="0.25">
      <c r="H559" t="s">
        <v>31</v>
      </c>
    </row>
    <row r="560" spans="8:8" x14ac:dyDescent="0.25">
      <c r="H560" t="s">
        <v>654</v>
      </c>
    </row>
    <row r="561" spans="8:8" x14ac:dyDescent="0.25">
      <c r="H561" t="s">
        <v>1528</v>
      </c>
    </row>
    <row r="562" spans="8:8" x14ac:dyDescent="0.25">
      <c r="H562" t="s">
        <v>31</v>
      </c>
    </row>
    <row r="564" spans="8:8" x14ac:dyDescent="0.25">
      <c r="H564" t="s">
        <v>208</v>
      </c>
    </row>
    <row r="565" spans="8:8" x14ac:dyDescent="0.25">
      <c r="H565" t="s">
        <v>1448</v>
      </c>
    </row>
    <row r="566" spans="8:8" x14ac:dyDescent="0.25">
      <c r="H566" t="s">
        <v>606</v>
      </c>
    </row>
    <row r="567" spans="8:8" x14ac:dyDescent="0.25">
      <c r="H567" t="s">
        <v>1529</v>
      </c>
    </row>
    <row r="568" spans="8:8" x14ac:dyDescent="0.25">
      <c r="H568" t="s">
        <v>31</v>
      </c>
    </row>
    <row r="569" spans="8:8" x14ac:dyDescent="0.25">
      <c r="H569" t="s">
        <v>648</v>
      </c>
    </row>
    <row r="570" spans="8:8" x14ac:dyDescent="0.25">
      <c r="H570" t="s">
        <v>1530</v>
      </c>
    </row>
    <row r="571" spans="8:8" x14ac:dyDescent="0.25">
      <c r="H571" t="s">
        <v>31</v>
      </c>
    </row>
    <row r="573" spans="8:8" x14ac:dyDescent="0.25">
      <c r="H573" t="s">
        <v>209</v>
      </c>
    </row>
    <row r="574" spans="8:8" x14ac:dyDescent="0.25">
      <c r="H574" t="s">
        <v>1451</v>
      </c>
    </row>
    <row r="575" spans="8:8" x14ac:dyDescent="0.25">
      <c r="H575" t="s">
        <v>606</v>
      </c>
    </row>
    <row r="576" spans="8:8" x14ac:dyDescent="0.25">
      <c r="H576" t="s">
        <v>1531</v>
      </c>
    </row>
    <row r="577" spans="8:8" x14ac:dyDescent="0.25">
      <c r="H577" t="s">
        <v>31</v>
      </c>
    </row>
    <row r="579" spans="8:8" x14ac:dyDescent="0.25">
      <c r="H579" t="s">
        <v>210</v>
      </c>
    </row>
    <row r="580" spans="8:8" x14ac:dyDescent="0.25">
      <c r="H580" t="s">
        <v>1453</v>
      </c>
    </row>
    <row r="581" spans="8:8" x14ac:dyDescent="0.25">
      <c r="H581" t="s">
        <v>606</v>
      </c>
    </row>
    <row r="582" spans="8:8" x14ac:dyDescent="0.25">
      <c r="H582" t="s">
        <v>1532</v>
      </c>
    </row>
    <row r="583" spans="8:8" x14ac:dyDescent="0.25">
      <c r="H583" t="s">
        <v>31</v>
      </c>
    </row>
    <row r="585" spans="8:8" x14ac:dyDescent="0.25">
      <c r="H585" t="s">
        <v>211</v>
      </c>
    </row>
    <row r="586" spans="8:8" x14ac:dyDescent="0.25">
      <c r="H586" t="s">
        <v>1455</v>
      </c>
    </row>
    <row r="587" spans="8:8" x14ac:dyDescent="0.25">
      <c r="H587" t="s">
        <v>606</v>
      </c>
    </row>
    <row r="588" spans="8:8" x14ac:dyDescent="0.25">
      <c r="H588" t="s">
        <v>1533</v>
      </c>
    </row>
    <row r="589" spans="8:8" x14ac:dyDescent="0.25">
      <c r="H589" t="s">
        <v>31</v>
      </c>
    </row>
    <row r="590" spans="8:8" x14ac:dyDescent="0.25">
      <c r="H590" t="s">
        <v>648</v>
      </c>
    </row>
    <row r="591" spans="8:8" x14ac:dyDescent="0.25">
      <c r="H591" t="s">
        <v>1534</v>
      </c>
    </row>
    <row r="592" spans="8:8" x14ac:dyDescent="0.25">
      <c r="H592" t="s">
        <v>31</v>
      </c>
    </row>
    <row r="594" spans="8:8" x14ac:dyDescent="0.25">
      <c r="H594" t="s">
        <v>212</v>
      </c>
    </row>
    <row r="595" spans="8:8" x14ac:dyDescent="0.25">
      <c r="H595" t="s">
        <v>1458</v>
      </c>
    </row>
    <row r="596" spans="8:8" x14ac:dyDescent="0.25">
      <c r="H596" t="s">
        <v>606</v>
      </c>
    </row>
    <row r="597" spans="8:8" x14ac:dyDescent="0.25">
      <c r="H597" t="s">
        <v>1535</v>
      </c>
    </row>
    <row r="598" spans="8:8" x14ac:dyDescent="0.25">
      <c r="H598" t="s">
        <v>31</v>
      </c>
    </row>
    <row r="599" spans="8:8" x14ac:dyDescent="0.25">
      <c r="H599" t="s">
        <v>648</v>
      </c>
    </row>
    <row r="600" spans="8:8" x14ac:dyDescent="0.25">
      <c r="H600" t="s">
        <v>1536</v>
      </c>
    </row>
    <row r="601" spans="8:8" x14ac:dyDescent="0.25">
      <c r="H601" t="s">
        <v>31</v>
      </c>
    </row>
    <row r="603" spans="8:8" x14ac:dyDescent="0.25">
      <c r="H603" t="s">
        <v>213</v>
      </c>
    </row>
    <row r="604" spans="8:8" x14ac:dyDescent="0.25">
      <c r="H604" t="s">
        <v>1648</v>
      </c>
    </row>
    <row r="605" spans="8:8" x14ac:dyDescent="0.25">
      <c r="H605" t="s">
        <v>606</v>
      </c>
    </row>
    <row r="606" spans="8:8" x14ac:dyDescent="0.25">
      <c r="H606" t="s">
        <v>1671</v>
      </c>
    </row>
    <row r="607" spans="8:8" x14ac:dyDescent="0.25">
      <c r="H607" t="s">
        <v>31</v>
      </c>
    </row>
    <row r="608" spans="8:8" x14ac:dyDescent="0.25">
      <c r="H608" t="s">
        <v>648</v>
      </c>
    </row>
    <row r="609" spans="8:8" x14ac:dyDescent="0.25">
      <c r="H609" t="s">
        <v>1672</v>
      </c>
    </row>
    <row r="610" spans="8:8" x14ac:dyDescent="0.25">
      <c r="H610" t="s">
        <v>31</v>
      </c>
    </row>
    <row r="611" spans="8:8" x14ac:dyDescent="0.25">
      <c r="H611" t="s">
        <v>651</v>
      </c>
    </row>
    <row r="612" spans="8:8" x14ac:dyDescent="0.25">
      <c r="H612" t="s">
        <v>1673</v>
      </c>
    </row>
    <row r="613" spans="8:8" x14ac:dyDescent="0.25">
      <c r="H613" t="s">
        <v>31</v>
      </c>
    </row>
    <row r="614" spans="8:8" x14ac:dyDescent="0.25">
      <c r="H614" t="s">
        <v>654</v>
      </c>
    </row>
    <row r="615" spans="8:8" x14ac:dyDescent="0.25">
      <c r="H615" t="s">
        <v>1674</v>
      </c>
    </row>
    <row r="616" spans="8:8" x14ac:dyDescent="0.25">
      <c r="H616" t="s">
        <v>31</v>
      </c>
    </row>
    <row r="618" spans="8:8" x14ac:dyDescent="0.25">
      <c r="H618" t="s">
        <v>214</v>
      </c>
    </row>
    <row r="619" spans="8:8" x14ac:dyDescent="0.25">
      <c r="H619" t="s">
        <v>1653</v>
      </c>
    </row>
    <row r="620" spans="8:8" x14ac:dyDescent="0.25">
      <c r="H620" t="s">
        <v>606</v>
      </c>
    </row>
    <row r="621" spans="8:8" x14ac:dyDescent="0.25">
      <c r="H621" t="s">
        <v>1675</v>
      </c>
    </row>
    <row r="622" spans="8:8" x14ac:dyDescent="0.25">
      <c r="H622" t="s">
        <v>31</v>
      </c>
    </row>
    <row r="623" spans="8:8" x14ac:dyDescent="0.25">
      <c r="H623" t="s">
        <v>648</v>
      </c>
    </row>
    <row r="624" spans="8:8" x14ac:dyDescent="0.25">
      <c r="H624" t="s">
        <v>1676</v>
      </c>
    </row>
    <row r="625" spans="8:8" x14ac:dyDescent="0.25">
      <c r="H625" t="s">
        <v>31</v>
      </c>
    </row>
    <row r="626" spans="8:8" x14ac:dyDescent="0.25">
      <c r="H626" t="s">
        <v>651</v>
      </c>
    </row>
    <row r="627" spans="8:8" x14ac:dyDescent="0.25">
      <c r="H627" t="s">
        <v>1677</v>
      </c>
    </row>
    <row r="628" spans="8:8" x14ac:dyDescent="0.25">
      <c r="H628" t="s">
        <v>31</v>
      </c>
    </row>
    <row r="629" spans="8:8" x14ac:dyDescent="0.25">
      <c r="H629" t="s">
        <v>654</v>
      </c>
    </row>
    <row r="630" spans="8:8" x14ac:dyDescent="0.25">
      <c r="H630" t="s">
        <v>1678</v>
      </c>
    </row>
    <row r="631" spans="8:8" x14ac:dyDescent="0.25">
      <c r="H631" t="s">
        <v>31</v>
      </c>
    </row>
    <row r="633" spans="8:8" x14ac:dyDescent="0.25">
      <c r="H633" t="s">
        <v>215</v>
      </c>
    </row>
    <row r="634" spans="8:8" x14ac:dyDescent="0.25">
      <c r="H634" t="s">
        <v>1658</v>
      </c>
    </row>
    <row r="635" spans="8:8" x14ac:dyDescent="0.25">
      <c r="H635" t="s">
        <v>606</v>
      </c>
    </row>
    <row r="636" spans="8:8" x14ac:dyDescent="0.25">
      <c r="H636" t="s">
        <v>1679</v>
      </c>
    </row>
    <row r="637" spans="8:8" x14ac:dyDescent="0.25">
      <c r="H637" t="s">
        <v>31</v>
      </c>
    </row>
    <row r="638" spans="8:8" x14ac:dyDescent="0.25">
      <c r="H638" t="s">
        <v>648</v>
      </c>
    </row>
    <row r="639" spans="8:8" x14ac:dyDescent="0.25">
      <c r="H639" t="s">
        <v>1680</v>
      </c>
    </row>
    <row r="640" spans="8:8" x14ac:dyDescent="0.25">
      <c r="H640" t="s">
        <v>31</v>
      </c>
    </row>
    <row r="642" spans="8:8" x14ac:dyDescent="0.25">
      <c r="H642" t="s">
        <v>216</v>
      </c>
    </row>
    <row r="643" spans="8:8" x14ac:dyDescent="0.25">
      <c r="H643" t="s">
        <v>1661</v>
      </c>
    </row>
    <row r="644" spans="8:8" x14ac:dyDescent="0.25">
      <c r="H644" t="s">
        <v>606</v>
      </c>
    </row>
    <row r="645" spans="8:8" x14ac:dyDescent="0.25">
      <c r="H645" t="s">
        <v>1681</v>
      </c>
    </row>
    <row r="646" spans="8:8" x14ac:dyDescent="0.25">
      <c r="H646" t="s">
        <v>31</v>
      </c>
    </row>
    <row r="648" spans="8:8" x14ac:dyDescent="0.25">
      <c r="H648" t="s">
        <v>217</v>
      </c>
    </row>
    <row r="649" spans="8:8" x14ac:dyDescent="0.25">
      <c r="H649" t="s">
        <v>1663</v>
      </c>
    </row>
    <row r="650" spans="8:8" x14ac:dyDescent="0.25">
      <c r="H650" t="s">
        <v>606</v>
      </c>
    </row>
    <row r="651" spans="8:8" x14ac:dyDescent="0.25">
      <c r="H651" t="s">
        <v>1682</v>
      </c>
    </row>
    <row r="652" spans="8:8" x14ac:dyDescent="0.25">
      <c r="H652" t="s">
        <v>31</v>
      </c>
    </row>
    <row r="654" spans="8:8" x14ac:dyDescent="0.25">
      <c r="H654" t="s">
        <v>218</v>
      </c>
    </row>
    <row r="655" spans="8:8" x14ac:dyDescent="0.25">
      <c r="H655" t="s">
        <v>1665</v>
      </c>
    </row>
    <row r="656" spans="8:8" x14ac:dyDescent="0.25">
      <c r="H656" t="s">
        <v>606</v>
      </c>
    </row>
    <row r="657" spans="8:8" x14ac:dyDescent="0.25">
      <c r="H657" t="s">
        <v>1683</v>
      </c>
    </row>
    <row r="658" spans="8:8" x14ac:dyDescent="0.25">
      <c r="H658" t="s">
        <v>31</v>
      </c>
    </row>
    <row r="659" spans="8:8" x14ac:dyDescent="0.25">
      <c r="H659" t="s">
        <v>648</v>
      </c>
    </row>
    <row r="660" spans="8:8" x14ac:dyDescent="0.25">
      <c r="H660" t="s">
        <v>1684</v>
      </c>
    </row>
    <row r="661" spans="8:8" x14ac:dyDescent="0.25">
      <c r="H661" t="s">
        <v>31</v>
      </c>
    </row>
    <row r="663" spans="8:8" x14ac:dyDescent="0.25">
      <c r="H663" t="s">
        <v>219</v>
      </c>
    </row>
    <row r="664" spans="8:8" x14ac:dyDescent="0.25">
      <c r="H664" t="s">
        <v>1668</v>
      </c>
    </row>
    <row r="665" spans="8:8" x14ac:dyDescent="0.25">
      <c r="H665" t="s">
        <v>606</v>
      </c>
    </row>
    <row r="666" spans="8:8" x14ac:dyDescent="0.25">
      <c r="H666" t="s">
        <v>1685</v>
      </c>
    </row>
    <row r="667" spans="8:8" x14ac:dyDescent="0.25">
      <c r="H667" t="s">
        <v>31</v>
      </c>
    </row>
    <row r="668" spans="8:8" x14ac:dyDescent="0.25">
      <c r="H668" t="s">
        <v>648</v>
      </c>
    </row>
    <row r="669" spans="8:8" x14ac:dyDescent="0.25">
      <c r="H669" t="s">
        <v>1686</v>
      </c>
    </row>
    <row r="670" spans="8:8" x14ac:dyDescent="0.25">
      <c r="H670" t="s">
        <v>31</v>
      </c>
    </row>
    <row r="672" spans="8:8" x14ac:dyDescent="0.25">
      <c r="H672" t="s">
        <v>29</v>
      </c>
    </row>
    <row r="673" spans="8:8" x14ac:dyDescent="0.25">
      <c r="H673" t="s">
        <v>124</v>
      </c>
    </row>
    <row r="674" spans="8:8" x14ac:dyDescent="0.25">
      <c r="H674" t="s">
        <v>39</v>
      </c>
    </row>
    <row r="676" spans="8:8" x14ac:dyDescent="0.25">
      <c r="H676" t="s">
        <v>30</v>
      </c>
    </row>
    <row r="677" spans="8:8" x14ac:dyDescent="0.25">
      <c r="H677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820</v>
      </c>
      <c r="I5" t="s">
        <v>820</v>
      </c>
    </row>
    <row r="6" spans="2:9" x14ac:dyDescent="0.25">
      <c r="B6" t="s">
        <v>486</v>
      </c>
      <c r="H6" t="s">
        <v>821</v>
      </c>
      <c r="I6" t="s">
        <v>821</v>
      </c>
    </row>
    <row r="7" spans="2:9" x14ac:dyDescent="0.25">
      <c r="H7" t="s">
        <v>822</v>
      </c>
      <c r="I7" t="s">
        <v>822</v>
      </c>
    </row>
    <row r="8" spans="2:9" x14ac:dyDescent="0.25">
      <c r="B8" s="1" t="s">
        <v>20</v>
      </c>
      <c r="H8" t="s">
        <v>823</v>
      </c>
      <c r="I8" t="s">
        <v>823</v>
      </c>
    </row>
    <row r="9" spans="2:9" x14ac:dyDescent="0.25">
      <c r="B9" t="s">
        <v>487</v>
      </c>
      <c r="H9" t="s">
        <v>824</v>
      </c>
      <c r="I9" t="s">
        <v>824</v>
      </c>
    </row>
    <row r="10" spans="2:9" x14ac:dyDescent="0.25">
      <c r="H10" t="s">
        <v>825</v>
      </c>
      <c r="I10" t="s">
        <v>825</v>
      </c>
    </row>
    <row r="11" spans="2:9" x14ac:dyDescent="0.25">
      <c r="B11" s="1" t="s">
        <v>13</v>
      </c>
      <c r="H11" t="s">
        <v>826</v>
      </c>
      <c r="I11" t="s">
        <v>810</v>
      </c>
    </row>
    <row r="12" spans="2:9" x14ac:dyDescent="0.25">
      <c r="B12" t="s">
        <v>15</v>
      </c>
      <c r="H12" t="s">
        <v>827</v>
      </c>
      <c r="I12" t="s">
        <v>811</v>
      </c>
    </row>
    <row r="13" spans="2:9" x14ac:dyDescent="0.25">
      <c r="H13" t="s">
        <v>798</v>
      </c>
      <c r="I13" t="s">
        <v>812</v>
      </c>
    </row>
    <row r="14" spans="2:9" x14ac:dyDescent="0.25">
      <c r="B14" s="1" t="s">
        <v>36</v>
      </c>
      <c r="H14" t="s">
        <v>799</v>
      </c>
      <c r="I14" t="s">
        <v>813</v>
      </c>
    </row>
    <row r="15" spans="2:9" x14ac:dyDescent="0.25">
      <c r="B15" t="s">
        <v>35</v>
      </c>
      <c r="H15" t="s">
        <v>800</v>
      </c>
      <c r="I15" t="s">
        <v>814</v>
      </c>
    </row>
    <row r="16" spans="2:9" x14ac:dyDescent="0.25">
      <c r="H16" t="s">
        <v>801</v>
      </c>
      <c r="I16" t="s">
        <v>815</v>
      </c>
    </row>
    <row r="17" spans="2:9" x14ac:dyDescent="0.25">
      <c r="B17" s="1" t="s">
        <v>21</v>
      </c>
      <c r="H17" t="s">
        <v>802</v>
      </c>
      <c r="I17" t="s">
        <v>816</v>
      </c>
    </row>
    <row r="18" spans="2:9" x14ac:dyDescent="0.25">
      <c r="B18" t="s">
        <v>490</v>
      </c>
      <c r="H18" t="s">
        <v>803</v>
      </c>
      <c r="I18" t="s">
        <v>817</v>
      </c>
    </row>
    <row r="19" spans="2:9" x14ac:dyDescent="0.25">
      <c r="H19" t="s">
        <v>804</v>
      </c>
      <c r="I19" t="s">
        <v>818</v>
      </c>
    </row>
    <row r="20" spans="2:9" x14ac:dyDescent="0.25">
      <c r="B20" s="1"/>
      <c r="H20" t="s">
        <v>805</v>
      </c>
      <c r="I20" t="s">
        <v>819</v>
      </c>
    </row>
    <row r="21" spans="2:9" x14ac:dyDescent="0.25">
      <c r="H21" t="s">
        <v>806</v>
      </c>
      <c r="I21" t="s">
        <v>1258</v>
      </c>
    </row>
    <row r="22" spans="2:9" x14ac:dyDescent="0.25">
      <c r="H22" t="s">
        <v>807</v>
      </c>
      <c r="I22" t="s">
        <v>1259</v>
      </c>
    </row>
    <row r="23" spans="2:9" x14ac:dyDescent="0.25">
      <c r="H23" t="s">
        <v>808</v>
      </c>
      <c r="I23" t="s">
        <v>1260</v>
      </c>
    </row>
    <row r="24" spans="2:9" x14ac:dyDescent="0.25">
      <c r="H24" t="s">
        <v>809</v>
      </c>
      <c r="I24" t="s">
        <v>1261</v>
      </c>
    </row>
    <row r="25" spans="2:9" x14ac:dyDescent="0.25">
      <c r="H25" t="s">
        <v>810</v>
      </c>
      <c r="I25" t="s">
        <v>842</v>
      </c>
    </row>
    <row r="26" spans="2:9" x14ac:dyDescent="0.25">
      <c r="H26" t="s">
        <v>811</v>
      </c>
      <c r="I26" t="s">
        <v>843</v>
      </c>
    </row>
    <row r="27" spans="2:9" x14ac:dyDescent="0.25">
      <c r="H27" t="s">
        <v>812</v>
      </c>
      <c r="I27" t="s">
        <v>844</v>
      </c>
    </row>
    <row r="28" spans="2:9" x14ac:dyDescent="0.25">
      <c r="H28" t="s">
        <v>813</v>
      </c>
      <c r="I28" t="s">
        <v>845</v>
      </c>
    </row>
    <row r="29" spans="2:9" x14ac:dyDescent="0.25">
      <c r="H29" t="s">
        <v>814</v>
      </c>
      <c r="I29" t="s">
        <v>846</v>
      </c>
    </row>
    <row r="30" spans="2:9" x14ac:dyDescent="0.25">
      <c r="H30" t="s">
        <v>815</v>
      </c>
      <c r="I30" t="s">
        <v>847</v>
      </c>
    </row>
    <row r="31" spans="2:9" x14ac:dyDescent="0.25">
      <c r="H31" t="s">
        <v>816</v>
      </c>
      <c r="I31" t="s">
        <v>1146</v>
      </c>
    </row>
    <row r="32" spans="2:9" x14ac:dyDescent="0.25">
      <c r="H32" t="s">
        <v>817</v>
      </c>
      <c r="I32" t="s">
        <v>1147</v>
      </c>
    </row>
    <row r="33" spans="8:9" x14ac:dyDescent="0.25">
      <c r="H33" t="s">
        <v>818</v>
      </c>
      <c r="I33" t="s">
        <v>1148</v>
      </c>
    </row>
    <row r="34" spans="8:9" x14ac:dyDescent="0.25">
      <c r="H34" t="s">
        <v>819</v>
      </c>
      <c r="I34" t="s">
        <v>1149</v>
      </c>
    </row>
    <row r="35" spans="8:9" x14ac:dyDescent="0.25">
      <c r="H35" t="s">
        <v>1254</v>
      </c>
      <c r="I35" t="s">
        <v>1150</v>
      </c>
    </row>
    <row r="36" spans="8:9" x14ac:dyDescent="0.25">
      <c r="H36" t="s">
        <v>1255</v>
      </c>
      <c r="I36" t="s">
        <v>1151</v>
      </c>
    </row>
    <row r="37" spans="8:9" x14ac:dyDescent="0.25">
      <c r="H37" t="s">
        <v>1256</v>
      </c>
      <c r="I37" t="s">
        <v>1852</v>
      </c>
    </row>
    <row r="38" spans="8:9" x14ac:dyDescent="0.25">
      <c r="H38" t="s">
        <v>1257</v>
      </c>
      <c r="I38" t="s">
        <v>1853</v>
      </c>
    </row>
    <row r="39" spans="8:9" x14ac:dyDescent="0.25">
      <c r="H39" t="s">
        <v>1258</v>
      </c>
      <c r="I39" t="s">
        <v>1854</v>
      </c>
    </row>
    <row r="40" spans="8:9" x14ac:dyDescent="0.25">
      <c r="H40" t="s">
        <v>1259</v>
      </c>
      <c r="I40" t="s">
        <v>1855</v>
      </c>
    </row>
    <row r="41" spans="8:9" x14ac:dyDescent="0.25">
      <c r="H41" t="s">
        <v>1260</v>
      </c>
      <c r="I41" t="s">
        <v>1862</v>
      </c>
    </row>
    <row r="42" spans="8:9" x14ac:dyDescent="0.25">
      <c r="H42" t="s">
        <v>1261</v>
      </c>
      <c r="I42" t="s">
        <v>1863</v>
      </c>
    </row>
    <row r="43" spans="8:9" x14ac:dyDescent="0.25">
      <c r="H43" t="s">
        <v>828</v>
      </c>
      <c r="I43" t="s">
        <v>1864</v>
      </c>
    </row>
    <row r="44" spans="8:9" x14ac:dyDescent="0.25">
      <c r="H44" t="s">
        <v>829</v>
      </c>
      <c r="I44" t="s">
        <v>1865</v>
      </c>
    </row>
    <row r="45" spans="8:9" x14ac:dyDescent="0.25">
      <c r="H45" t="s">
        <v>830</v>
      </c>
      <c r="I45" s="11" t="s">
        <v>87</v>
      </c>
    </row>
    <row r="46" spans="8:9" x14ac:dyDescent="0.25">
      <c r="H46" t="s">
        <v>831</v>
      </c>
    </row>
    <row r="47" spans="8:9" x14ac:dyDescent="0.25">
      <c r="H47" t="s">
        <v>832</v>
      </c>
    </row>
    <row r="48" spans="8:9" x14ac:dyDescent="0.25">
      <c r="H48" t="s">
        <v>833</v>
      </c>
    </row>
    <row r="49" spans="8:8" x14ac:dyDescent="0.25">
      <c r="H49" t="s">
        <v>834</v>
      </c>
    </row>
    <row r="50" spans="8:8" x14ac:dyDescent="0.25">
      <c r="H50" t="s">
        <v>835</v>
      </c>
    </row>
    <row r="51" spans="8:8" x14ac:dyDescent="0.25">
      <c r="H51" t="s">
        <v>836</v>
      </c>
    </row>
    <row r="52" spans="8:8" x14ac:dyDescent="0.25">
      <c r="H52" t="s">
        <v>837</v>
      </c>
    </row>
    <row r="53" spans="8:8" x14ac:dyDescent="0.25">
      <c r="H53" t="s">
        <v>838</v>
      </c>
    </row>
    <row r="54" spans="8:8" x14ac:dyDescent="0.25">
      <c r="H54" t="s">
        <v>839</v>
      </c>
    </row>
    <row r="55" spans="8:8" x14ac:dyDescent="0.25">
      <c r="H55" t="s">
        <v>840</v>
      </c>
    </row>
    <row r="56" spans="8:8" x14ac:dyDescent="0.25">
      <c r="H56" t="s">
        <v>841</v>
      </c>
    </row>
    <row r="57" spans="8:8" x14ac:dyDescent="0.25">
      <c r="H57" t="s">
        <v>842</v>
      </c>
    </row>
    <row r="58" spans="8:8" x14ac:dyDescent="0.25">
      <c r="H58" t="s">
        <v>843</v>
      </c>
    </row>
    <row r="59" spans="8:8" x14ac:dyDescent="0.25">
      <c r="H59" t="s">
        <v>844</v>
      </c>
    </row>
    <row r="60" spans="8:8" x14ac:dyDescent="0.25">
      <c r="H60" t="s">
        <v>845</v>
      </c>
    </row>
    <row r="61" spans="8:8" x14ac:dyDescent="0.25">
      <c r="H61" t="s">
        <v>846</v>
      </c>
    </row>
    <row r="62" spans="8:8" x14ac:dyDescent="0.25">
      <c r="H62" t="s">
        <v>847</v>
      </c>
    </row>
    <row r="63" spans="8:8" x14ac:dyDescent="0.25">
      <c r="H63" t="s">
        <v>1130</v>
      </c>
    </row>
    <row r="64" spans="8:8" x14ac:dyDescent="0.25">
      <c r="H64" t="s">
        <v>1131</v>
      </c>
    </row>
    <row r="65" spans="8:8" x14ac:dyDescent="0.25">
      <c r="H65" t="s">
        <v>1132</v>
      </c>
    </row>
    <row r="66" spans="8:8" x14ac:dyDescent="0.25">
      <c r="H66" t="s">
        <v>1133</v>
      </c>
    </row>
    <row r="67" spans="8:8" x14ac:dyDescent="0.25">
      <c r="H67" t="s">
        <v>1134</v>
      </c>
    </row>
    <row r="68" spans="8:8" x14ac:dyDescent="0.25">
      <c r="H68" t="s">
        <v>1135</v>
      </c>
    </row>
    <row r="69" spans="8:8" x14ac:dyDescent="0.25">
      <c r="H69" t="s">
        <v>1136</v>
      </c>
    </row>
    <row r="70" spans="8:8" x14ac:dyDescent="0.25">
      <c r="H70" t="s">
        <v>1137</v>
      </c>
    </row>
    <row r="71" spans="8:8" x14ac:dyDescent="0.25">
      <c r="H71" t="s">
        <v>1138</v>
      </c>
    </row>
    <row r="72" spans="8:8" x14ac:dyDescent="0.25">
      <c r="H72" t="s">
        <v>1139</v>
      </c>
    </row>
    <row r="73" spans="8:8" x14ac:dyDescent="0.25">
      <c r="H73" t="s">
        <v>1140</v>
      </c>
    </row>
    <row r="74" spans="8:8" x14ac:dyDescent="0.25">
      <c r="H74" t="s">
        <v>1141</v>
      </c>
    </row>
    <row r="75" spans="8:8" x14ac:dyDescent="0.25">
      <c r="H75" t="s">
        <v>1142</v>
      </c>
    </row>
    <row r="76" spans="8:8" x14ac:dyDescent="0.25">
      <c r="H76" t="s">
        <v>1143</v>
      </c>
    </row>
    <row r="77" spans="8:8" x14ac:dyDescent="0.25">
      <c r="H77" t="s">
        <v>1144</v>
      </c>
    </row>
    <row r="78" spans="8:8" x14ac:dyDescent="0.25">
      <c r="H78" t="s">
        <v>1145</v>
      </c>
    </row>
    <row r="79" spans="8:8" x14ac:dyDescent="0.25">
      <c r="H79" t="s">
        <v>1146</v>
      </c>
    </row>
    <row r="80" spans="8:8" x14ac:dyDescent="0.25">
      <c r="H80" t="s">
        <v>1147</v>
      </c>
    </row>
    <row r="81" spans="8:8" x14ac:dyDescent="0.25">
      <c r="H81" t="s">
        <v>1148</v>
      </c>
    </row>
    <row r="82" spans="8:8" x14ac:dyDescent="0.25">
      <c r="H82" t="s">
        <v>1149</v>
      </c>
    </row>
    <row r="83" spans="8:8" x14ac:dyDescent="0.25">
      <c r="H83" t="s">
        <v>1150</v>
      </c>
    </row>
    <row r="84" spans="8:8" x14ac:dyDescent="0.25">
      <c r="H84" t="s">
        <v>1151</v>
      </c>
    </row>
    <row r="85" spans="8:8" x14ac:dyDescent="0.25">
      <c r="H85" t="s">
        <v>1946</v>
      </c>
    </row>
    <row r="86" spans="8:8" x14ac:dyDescent="0.25">
      <c r="H86" t="s">
        <v>1947</v>
      </c>
    </row>
    <row r="87" spans="8:8" x14ac:dyDescent="0.25">
      <c r="H87" t="s">
        <v>1948</v>
      </c>
    </row>
    <row r="88" spans="8:8" x14ac:dyDescent="0.25">
      <c r="H88" t="s">
        <v>1949</v>
      </c>
    </row>
    <row r="89" spans="8:8" x14ac:dyDescent="0.25">
      <c r="H89" t="s">
        <v>1846</v>
      </c>
    </row>
    <row r="90" spans="8:8" x14ac:dyDescent="0.25">
      <c r="H90" t="s">
        <v>1847</v>
      </c>
    </row>
    <row r="91" spans="8:8" x14ac:dyDescent="0.25">
      <c r="H91" t="s">
        <v>1848</v>
      </c>
    </row>
    <row r="92" spans="8:8" x14ac:dyDescent="0.25">
      <c r="H92" t="s">
        <v>1849</v>
      </c>
    </row>
    <row r="93" spans="8:8" x14ac:dyDescent="0.25">
      <c r="H93" t="s">
        <v>1850</v>
      </c>
    </row>
    <row r="94" spans="8:8" x14ac:dyDescent="0.25">
      <c r="H94" t="s">
        <v>1851</v>
      </c>
    </row>
    <row r="95" spans="8:8" x14ac:dyDescent="0.25">
      <c r="H95" t="s">
        <v>1852</v>
      </c>
    </row>
    <row r="96" spans="8:8" x14ac:dyDescent="0.25">
      <c r="H96" t="s">
        <v>1853</v>
      </c>
    </row>
    <row r="97" spans="8:8" x14ac:dyDescent="0.25">
      <c r="H97" t="s">
        <v>1854</v>
      </c>
    </row>
    <row r="98" spans="8:8" x14ac:dyDescent="0.25">
      <c r="H98" t="s">
        <v>1855</v>
      </c>
    </row>
    <row r="99" spans="8:8" x14ac:dyDescent="0.25">
      <c r="H99" t="s">
        <v>1856</v>
      </c>
    </row>
    <row r="100" spans="8:8" x14ac:dyDescent="0.25">
      <c r="H100" t="s">
        <v>1857</v>
      </c>
    </row>
    <row r="101" spans="8:8" x14ac:dyDescent="0.25">
      <c r="H101" t="s">
        <v>1858</v>
      </c>
    </row>
    <row r="102" spans="8:8" x14ac:dyDescent="0.25">
      <c r="H102" t="s">
        <v>1859</v>
      </c>
    </row>
    <row r="103" spans="8:8" x14ac:dyDescent="0.25">
      <c r="H103" t="s">
        <v>1860</v>
      </c>
    </row>
    <row r="104" spans="8:8" x14ac:dyDescent="0.25">
      <c r="H104" t="s">
        <v>1861</v>
      </c>
    </row>
    <row r="105" spans="8:8" x14ac:dyDescent="0.25">
      <c r="H105" t="s">
        <v>1862</v>
      </c>
    </row>
    <row r="106" spans="8:8" x14ac:dyDescent="0.25">
      <c r="H106" t="s">
        <v>1863</v>
      </c>
    </row>
    <row r="107" spans="8:8" x14ac:dyDescent="0.25">
      <c r="H107" t="s">
        <v>1864</v>
      </c>
    </row>
    <row r="108" spans="8:8" x14ac:dyDescent="0.25">
      <c r="H108" t="s">
        <v>1865</v>
      </c>
    </row>
    <row r="109" spans="8:8" x14ac:dyDescent="0.25">
      <c r="H109" t="s">
        <v>1537</v>
      </c>
    </row>
    <row r="110" spans="8:8" x14ac:dyDescent="0.25">
      <c r="H110" t="s">
        <v>1538</v>
      </c>
    </row>
    <row r="111" spans="8:8" x14ac:dyDescent="0.25">
      <c r="H111" t="s">
        <v>1539</v>
      </c>
    </row>
    <row r="112" spans="8:8" x14ac:dyDescent="0.25">
      <c r="H112" t="s">
        <v>1540</v>
      </c>
    </row>
    <row r="113" spans="8:8" x14ac:dyDescent="0.25">
      <c r="H113" t="s">
        <v>1541</v>
      </c>
    </row>
    <row r="114" spans="8:8" x14ac:dyDescent="0.25">
      <c r="H114" t="s">
        <v>1542</v>
      </c>
    </row>
    <row r="115" spans="8:8" x14ac:dyDescent="0.25">
      <c r="H115" t="s">
        <v>1543</v>
      </c>
    </row>
    <row r="116" spans="8:8" x14ac:dyDescent="0.25">
      <c r="H116" t="s">
        <v>1544</v>
      </c>
    </row>
    <row r="117" spans="8:8" x14ac:dyDescent="0.25">
      <c r="H117" t="s">
        <v>1545</v>
      </c>
    </row>
    <row r="118" spans="8:8" x14ac:dyDescent="0.25">
      <c r="H118" t="s">
        <v>1546</v>
      </c>
    </row>
    <row r="119" spans="8:8" x14ac:dyDescent="0.25">
      <c r="H119" t="s">
        <v>1547</v>
      </c>
    </row>
    <row r="120" spans="8:8" x14ac:dyDescent="0.25">
      <c r="H120" t="s">
        <v>1548</v>
      </c>
    </row>
    <row r="121" spans="8:8" x14ac:dyDescent="0.25">
      <c r="H121" t="s">
        <v>1549</v>
      </c>
    </row>
    <row r="122" spans="8:8" x14ac:dyDescent="0.25">
      <c r="H122" t="s">
        <v>1550</v>
      </c>
    </row>
    <row r="123" spans="8:8" x14ac:dyDescent="0.25">
      <c r="H123" t="s">
        <v>1551</v>
      </c>
    </row>
    <row r="124" spans="8:8" x14ac:dyDescent="0.25">
      <c r="H124" t="s">
        <v>1552</v>
      </c>
    </row>
    <row r="125" spans="8:8" x14ac:dyDescent="0.25">
      <c r="H125" t="s">
        <v>1553</v>
      </c>
    </row>
    <row r="126" spans="8:8" x14ac:dyDescent="0.25">
      <c r="H126" t="s">
        <v>1554</v>
      </c>
    </row>
    <row r="127" spans="8:8" x14ac:dyDescent="0.25">
      <c r="H127" t="s">
        <v>1555</v>
      </c>
    </row>
    <row r="128" spans="8:8" x14ac:dyDescent="0.25">
      <c r="H128" t="s">
        <v>1556</v>
      </c>
    </row>
    <row r="129" spans="8:8" x14ac:dyDescent="0.25">
      <c r="H129" t="s">
        <v>1557</v>
      </c>
    </row>
    <row r="130" spans="8:8" x14ac:dyDescent="0.25">
      <c r="H130" t="s">
        <v>1558</v>
      </c>
    </row>
    <row r="131" spans="8:8" x14ac:dyDescent="0.25">
      <c r="H131" t="s">
        <v>1559</v>
      </c>
    </row>
    <row r="132" spans="8:8" x14ac:dyDescent="0.25">
      <c r="H132" t="s">
        <v>1560</v>
      </c>
    </row>
    <row r="133" spans="8:8" x14ac:dyDescent="0.25">
      <c r="H133" t="s">
        <v>1561</v>
      </c>
    </row>
    <row r="134" spans="8:8" x14ac:dyDescent="0.25">
      <c r="H134" t="s">
        <v>1562</v>
      </c>
    </row>
    <row r="135" spans="8:8" x14ac:dyDescent="0.25">
      <c r="H135" t="s">
        <v>1563</v>
      </c>
    </row>
    <row r="136" spans="8:8" x14ac:dyDescent="0.25">
      <c r="H136" t="s">
        <v>1564</v>
      </c>
    </row>
    <row r="137" spans="8:8" x14ac:dyDescent="0.25">
      <c r="H137" t="s">
        <v>1565</v>
      </c>
    </row>
    <row r="138" spans="8:8" x14ac:dyDescent="0.25">
      <c r="H138" t="s">
        <v>1566</v>
      </c>
    </row>
    <row r="139" spans="8:8" x14ac:dyDescent="0.25">
      <c r="H139" t="s">
        <v>1567</v>
      </c>
    </row>
    <row r="140" spans="8:8" x14ac:dyDescent="0.25">
      <c r="H140" t="s">
        <v>1568</v>
      </c>
    </row>
    <row r="141" spans="8:8" x14ac:dyDescent="0.25">
      <c r="H141" t="s">
        <v>1569</v>
      </c>
    </row>
    <row r="142" spans="8:8" x14ac:dyDescent="0.25">
      <c r="H142" t="s">
        <v>1570</v>
      </c>
    </row>
    <row r="143" spans="8:8" x14ac:dyDescent="0.25">
      <c r="H143" t="s">
        <v>1571</v>
      </c>
    </row>
    <row r="144" spans="8:8" x14ac:dyDescent="0.25">
      <c r="H144" t="s">
        <v>1572</v>
      </c>
    </row>
    <row r="145" spans="8:8" x14ac:dyDescent="0.25">
      <c r="H145" t="s">
        <v>1573</v>
      </c>
    </row>
    <row r="146" spans="8:8" x14ac:dyDescent="0.25">
      <c r="H146" t="s">
        <v>1574</v>
      </c>
    </row>
    <row r="147" spans="8:8" x14ac:dyDescent="0.25">
      <c r="H147" t="s">
        <v>1575</v>
      </c>
    </row>
    <row r="148" spans="8:8" x14ac:dyDescent="0.25">
      <c r="H148" t="s">
        <v>1576</v>
      </c>
    </row>
    <row r="149" spans="8:8" x14ac:dyDescent="0.25">
      <c r="H149" t="s">
        <v>1577</v>
      </c>
    </row>
    <row r="150" spans="8:8" x14ac:dyDescent="0.25">
      <c r="H150" t="s">
        <v>1578</v>
      </c>
    </row>
    <row r="151" spans="8:8" x14ac:dyDescent="0.25">
      <c r="H151" t="s">
        <v>1687</v>
      </c>
    </row>
    <row r="152" spans="8:8" x14ac:dyDescent="0.25">
      <c r="H152" t="s">
        <v>1688</v>
      </c>
    </row>
    <row r="153" spans="8:8" x14ac:dyDescent="0.25">
      <c r="H153" t="s">
        <v>1689</v>
      </c>
    </row>
    <row r="154" spans="8:8" x14ac:dyDescent="0.25">
      <c r="H154" t="s">
        <v>1690</v>
      </c>
    </row>
    <row r="155" spans="8:8" x14ac:dyDescent="0.25">
      <c r="H155" t="s">
        <v>1691</v>
      </c>
    </row>
    <row r="156" spans="8:8" x14ac:dyDescent="0.25">
      <c r="H156" t="s">
        <v>1692</v>
      </c>
    </row>
    <row r="157" spans="8:8" x14ac:dyDescent="0.25">
      <c r="H157" t="s">
        <v>1693</v>
      </c>
    </row>
    <row r="158" spans="8:8" x14ac:dyDescent="0.25">
      <c r="H158" t="s">
        <v>1694</v>
      </c>
    </row>
    <row r="159" spans="8:8" x14ac:dyDescent="0.25">
      <c r="H159" t="s">
        <v>1695</v>
      </c>
    </row>
    <row r="160" spans="8:8" x14ac:dyDescent="0.25">
      <c r="H160" t="s">
        <v>1696</v>
      </c>
    </row>
    <row r="161" spans="8:8" x14ac:dyDescent="0.25">
      <c r="H161" t="s">
        <v>1697</v>
      </c>
    </row>
    <row r="162" spans="8:8" x14ac:dyDescent="0.25">
      <c r="H162" t="s">
        <v>1698</v>
      </c>
    </row>
    <row r="163" spans="8:8" x14ac:dyDescent="0.25">
      <c r="H163" t="s">
        <v>1699</v>
      </c>
    </row>
    <row r="164" spans="8:8" x14ac:dyDescent="0.25">
      <c r="H164" t="s">
        <v>1700</v>
      </c>
    </row>
    <row r="165" spans="8:8" x14ac:dyDescent="0.25">
      <c r="H165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7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876</v>
      </c>
    </row>
    <row r="4" spans="2:8" x14ac:dyDescent="0.25">
      <c r="H4" t="s">
        <v>877</v>
      </c>
    </row>
    <row r="5" spans="2:8" x14ac:dyDescent="0.25">
      <c r="B5" s="1"/>
      <c r="H5" t="s">
        <v>878</v>
      </c>
    </row>
    <row r="6" spans="2:8" x14ac:dyDescent="0.25">
      <c r="H6" t="s">
        <v>879</v>
      </c>
    </row>
    <row r="7" spans="2:8" x14ac:dyDescent="0.25">
      <c r="H7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1" spans="2:8" x14ac:dyDescent="0.25">
      <c r="B11" s="1"/>
      <c r="H11" t="s">
        <v>848</v>
      </c>
    </row>
    <row r="12" spans="2:8" x14ac:dyDescent="0.25">
      <c r="H12" t="s">
        <v>849</v>
      </c>
    </row>
    <row r="13" spans="2:8" x14ac:dyDescent="0.25">
      <c r="H13" t="s">
        <v>850</v>
      </c>
    </row>
    <row r="14" spans="2:8" x14ac:dyDescent="0.25">
      <c r="B14" s="1"/>
      <c r="H14" t="s">
        <v>851</v>
      </c>
    </row>
    <row r="16" spans="2:8" x14ac:dyDescent="0.25">
      <c r="H16" t="s">
        <v>852</v>
      </c>
    </row>
    <row r="17" spans="2:8" x14ac:dyDescent="0.25">
      <c r="B17" s="1"/>
      <c r="H17" t="s">
        <v>853</v>
      </c>
    </row>
    <row r="18" spans="2:8" x14ac:dyDescent="0.25">
      <c r="H18" t="s">
        <v>854</v>
      </c>
    </row>
    <row r="19" spans="2:8" x14ac:dyDescent="0.25">
      <c r="H19" t="s">
        <v>855</v>
      </c>
    </row>
    <row r="20" spans="2:8" x14ac:dyDescent="0.25">
      <c r="B20" s="1"/>
      <c r="H20" t="s">
        <v>856</v>
      </c>
    </row>
    <row r="21" spans="2:8" x14ac:dyDescent="0.25">
      <c r="H21" t="s">
        <v>857</v>
      </c>
    </row>
    <row r="22" spans="2:8" x14ac:dyDescent="0.25">
      <c r="H22" t="s">
        <v>858</v>
      </c>
    </row>
    <row r="23" spans="2:8" x14ac:dyDescent="0.25">
      <c r="H23" t="s">
        <v>859</v>
      </c>
    </row>
    <row r="25" spans="2:8" x14ac:dyDescent="0.25">
      <c r="H25" t="s">
        <v>860</v>
      </c>
    </row>
    <row r="26" spans="2:8" x14ac:dyDescent="0.25">
      <c r="H26" t="s">
        <v>861</v>
      </c>
    </row>
    <row r="27" spans="2:8" x14ac:dyDescent="0.25">
      <c r="H27" t="s">
        <v>862</v>
      </c>
    </row>
    <row r="28" spans="2:8" x14ac:dyDescent="0.25">
      <c r="H28" t="s">
        <v>863</v>
      </c>
    </row>
    <row r="29" spans="2:8" x14ac:dyDescent="0.25">
      <c r="H29" t="s">
        <v>864</v>
      </c>
    </row>
    <row r="30" spans="2:8" x14ac:dyDescent="0.25">
      <c r="H30" t="s">
        <v>865</v>
      </c>
    </row>
    <row r="31" spans="2:8" x14ac:dyDescent="0.25">
      <c r="H31" t="s">
        <v>866</v>
      </c>
    </row>
    <row r="32" spans="2:8" x14ac:dyDescent="0.25">
      <c r="H32" t="s">
        <v>867</v>
      </c>
    </row>
    <row r="34" spans="8:8" x14ac:dyDescent="0.25">
      <c r="H34" t="s">
        <v>868</v>
      </c>
    </row>
    <row r="35" spans="8:8" x14ac:dyDescent="0.25">
      <c r="H35" t="s">
        <v>869</v>
      </c>
    </row>
    <row r="36" spans="8:8" x14ac:dyDescent="0.25">
      <c r="H36" t="s">
        <v>870</v>
      </c>
    </row>
    <row r="37" spans="8:8" x14ac:dyDescent="0.25">
      <c r="H37" t="s">
        <v>871</v>
      </c>
    </row>
    <row r="38" spans="8:8" x14ac:dyDescent="0.25">
      <c r="H38" t="s">
        <v>872</v>
      </c>
    </row>
    <row r="39" spans="8:8" x14ac:dyDescent="0.25">
      <c r="H39" t="s">
        <v>873</v>
      </c>
    </row>
    <row r="40" spans="8:8" x14ac:dyDescent="0.25">
      <c r="H40" t="s">
        <v>874</v>
      </c>
    </row>
    <row r="41" spans="8:8" x14ac:dyDescent="0.25">
      <c r="H41" t="s">
        <v>875</v>
      </c>
    </row>
    <row r="43" spans="8:8" x14ac:dyDescent="0.25">
      <c r="H43" t="s">
        <v>1152</v>
      </c>
    </row>
    <row r="44" spans="8:8" x14ac:dyDescent="0.25">
      <c r="H44" t="s">
        <v>1153</v>
      </c>
    </row>
    <row r="45" spans="8:8" x14ac:dyDescent="0.25">
      <c r="H45" t="s">
        <v>1262</v>
      </c>
    </row>
    <row r="46" spans="8:8" x14ac:dyDescent="0.25">
      <c r="H46" t="s">
        <v>1263</v>
      </c>
    </row>
    <row r="47" spans="8:8" x14ac:dyDescent="0.25">
      <c r="H47" t="s">
        <v>1154</v>
      </c>
    </row>
    <row r="49" spans="8:8" x14ac:dyDescent="0.25">
      <c r="H49" t="s">
        <v>1155</v>
      </c>
    </row>
    <row r="50" spans="8:8" x14ac:dyDescent="0.25">
      <c r="H50" t="s">
        <v>1156</v>
      </c>
    </row>
    <row r="51" spans="8:8" x14ac:dyDescent="0.25">
      <c r="H51" t="s">
        <v>1264</v>
      </c>
    </row>
    <row r="52" spans="8:8" x14ac:dyDescent="0.25">
      <c r="H52" t="s">
        <v>1265</v>
      </c>
    </row>
    <row r="53" spans="8:8" x14ac:dyDescent="0.25">
      <c r="H53" t="s">
        <v>1157</v>
      </c>
    </row>
    <row r="55" spans="8:8" x14ac:dyDescent="0.25">
      <c r="H55" t="s">
        <v>1158</v>
      </c>
    </row>
    <row r="56" spans="8:8" x14ac:dyDescent="0.25">
      <c r="H56" t="s">
        <v>1159</v>
      </c>
    </row>
    <row r="57" spans="8:8" x14ac:dyDescent="0.25">
      <c r="H57" t="s">
        <v>1266</v>
      </c>
    </row>
    <row r="58" spans="8:8" x14ac:dyDescent="0.25">
      <c r="H58" t="s">
        <v>1267</v>
      </c>
    </row>
    <row r="59" spans="8:8" x14ac:dyDescent="0.25">
      <c r="H59" t="s">
        <v>1160</v>
      </c>
    </row>
    <row r="61" spans="8:8" x14ac:dyDescent="0.25">
      <c r="H61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3" spans="8:8" x14ac:dyDescent="0.25">
      <c r="H73" t="s">
        <v>895</v>
      </c>
    </row>
    <row r="75" spans="8:8" x14ac:dyDescent="0.25">
      <c r="H75" t="s">
        <v>896</v>
      </c>
    </row>
    <row r="76" spans="8:8" x14ac:dyDescent="0.25">
      <c r="H76" t="s">
        <v>897</v>
      </c>
    </row>
    <row r="77" spans="8:8" x14ac:dyDescent="0.25">
      <c r="H77" t="s">
        <v>886</v>
      </c>
    </row>
    <row r="78" spans="8:8" x14ac:dyDescent="0.25">
      <c r="H78" t="s">
        <v>887</v>
      </c>
    </row>
    <row r="79" spans="8:8" x14ac:dyDescent="0.25">
      <c r="H79" t="s">
        <v>888</v>
      </c>
    </row>
    <row r="80" spans="8:8" x14ac:dyDescent="0.25">
      <c r="H80" t="s">
        <v>889</v>
      </c>
    </row>
    <row r="81" spans="8:8" x14ac:dyDescent="0.25">
      <c r="H81" t="s">
        <v>890</v>
      </c>
    </row>
    <row r="82" spans="8:8" x14ac:dyDescent="0.25">
      <c r="H82" t="s">
        <v>891</v>
      </c>
    </row>
    <row r="83" spans="8:8" x14ac:dyDescent="0.25">
      <c r="H83" t="s">
        <v>898</v>
      </c>
    </row>
    <row r="84" spans="8:8" x14ac:dyDescent="0.25">
      <c r="H84" t="s">
        <v>899</v>
      </c>
    </row>
    <row r="85" spans="8:8" x14ac:dyDescent="0.25">
      <c r="H85" t="s">
        <v>900</v>
      </c>
    </row>
    <row r="86" spans="8:8" x14ac:dyDescent="0.25">
      <c r="H86" t="s">
        <v>901</v>
      </c>
    </row>
    <row r="87" spans="8:8" x14ac:dyDescent="0.25">
      <c r="H87" t="s">
        <v>902</v>
      </c>
    </row>
    <row r="89" spans="8:8" x14ac:dyDescent="0.25">
      <c r="H89" t="s">
        <v>1161</v>
      </c>
    </row>
    <row r="90" spans="8:8" x14ac:dyDescent="0.25">
      <c r="H90" t="s">
        <v>1162</v>
      </c>
    </row>
    <row r="91" spans="8:8" x14ac:dyDescent="0.25">
      <c r="H91" t="s">
        <v>1163</v>
      </c>
    </row>
    <row r="92" spans="8:8" x14ac:dyDescent="0.25">
      <c r="H92" t="s">
        <v>1164</v>
      </c>
    </row>
    <row r="93" spans="8:8" x14ac:dyDescent="0.25">
      <c r="H93" t="s">
        <v>1165</v>
      </c>
    </row>
    <row r="94" spans="8:8" x14ac:dyDescent="0.25">
      <c r="H94" t="s">
        <v>1166</v>
      </c>
    </row>
    <row r="95" spans="8:8" x14ac:dyDescent="0.25">
      <c r="H95" t="s">
        <v>1167</v>
      </c>
    </row>
    <row r="96" spans="8:8" x14ac:dyDescent="0.25">
      <c r="H96" t="s">
        <v>1168</v>
      </c>
    </row>
    <row r="97" spans="8:8" x14ac:dyDescent="0.25">
      <c r="H97" t="s">
        <v>1169</v>
      </c>
    </row>
    <row r="98" spans="8:8" x14ac:dyDescent="0.25">
      <c r="H98" t="s">
        <v>1170</v>
      </c>
    </row>
    <row r="99" spans="8:8" x14ac:dyDescent="0.25">
      <c r="H99" t="s">
        <v>946</v>
      </c>
    </row>
    <row r="100" spans="8:8" x14ac:dyDescent="0.25">
      <c r="H100" t="s">
        <v>1171</v>
      </c>
    </row>
    <row r="101" spans="8:8" x14ac:dyDescent="0.25">
      <c r="H101" t="s">
        <v>1172</v>
      </c>
    </row>
    <row r="102" spans="8:8" x14ac:dyDescent="0.25">
      <c r="H102" t="s">
        <v>1173</v>
      </c>
    </row>
    <row r="104" spans="8:8" x14ac:dyDescent="0.25">
      <c r="H104" t="s">
        <v>1174</v>
      </c>
    </row>
    <row r="105" spans="8:8" x14ac:dyDescent="0.25">
      <c r="H105" t="s">
        <v>1175</v>
      </c>
    </row>
    <row r="106" spans="8:8" x14ac:dyDescent="0.25">
      <c r="H106" t="s">
        <v>947</v>
      </c>
    </row>
    <row r="107" spans="8:8" x14ac:dyDescent="0.25">
      <c r="H107" t="s">
        <v>1176</v>
      </c>
    </row>
    <row r="108" spans="8:8" x14ac:dyDescent="0.25">
      <c r="H108" t="s">
        <v>1177</v>
      </c>
    </row>
    <row r="110" spans="8:8" x14ac:dyDescent="0.25">
      <c r="H110" t="s">
        <v>1954</v>
      </c>
    </row>
    <row r="111" spans="8:8" x14ac:dyDescent="0.25">
      <c r="H111" t="s">
        <v>1955</v>
      </c>
    </row>
    <row r="112" spans="8:8" x14ac:dyDescent="0.25">
      <c r="H112" t="s">
        <v>1956</v>
      </c>
    </row>
    <row r="113" spans="8:8" x14ac:dyDescent="0.25">
      <c r="H113" t="s">
        <v>1957</v>
      </c>
    </row>
    <row r="114" spans="8:8" x14ac:dyDescent="0.25">
      <c r="H114" t="s">
        <v>1958</v>
      </c>
    </row>
    <row r="116" spans="8:8" x14ac:dyDescent="0.25">
      <c r="H116" t="s">
        <v>1894</v>
      </c>
    </row>
    <row r="117" spans="8:8" x14ac:dyDescent="0.25">
      <c r="H117" t="s">
        <v>1895</v>
      </c>
    </row>
    <row r="118" spans="8:8" x14ac:dyDescent="0.25">
      <c r="H118" t="s">
        <v>1896</v>
      </c>
    </row>
    <row r="119" spans="8:8" x14ac:dyDescent="0.25">
      <c r="H119" t="s">
        <v>1897</v>
      </c>
    </row>
    <row r="120" spans="8:8" x14ac:dyDescent="0.25">
      <c r="H120" t="s">
        <v>1898</v>
      </c>
    </row>
    <row r="121" spans="8:8" x14ac:dyDescent="0.25">
      <c r="H121" t="s">
        <v>1899</v>
      </c>
    </row>
    <row r="122" spans="8:8" x14ac:dyDescent="0.25">
      <c r="H122" t="s">
        <v>1900</v>
      </c>
    </row>
    <row r="123" spans="8:8" x14ac:dyDescent="0.25">
      <c r="H123" t="s">
        <v>1901</v>
      </c>
    </row>
    <row r="125" spans="8:8" x14ac:dyDescent="0.25">
      <c r="H125" t="s">
        <v>1902</v>
      </c>
    </row>
    <row r="126" spans="8:8" x14ac:dyDescent="0.25">
      <c r="H126" t="s">
        <v>1903</v>
      </c>
    </row>
    <row r="127" spans="8:8" x14ac:dyDescent="0.25">
      <c r="H127" t="s">
        <v>1904</v>
      </c>
    </row>
    <row r="128" spans="8:8" x14ac:dyDescent="0.25">
      <c r="H128" t="s">
        <v>1905</v>
      </c>
    </row>
    <row r="130" spans="8:8" x14ac:dyDescent="0.25">
      <c r="H130" t="s">
        <v>1906</v>
      </c>
    </row>
    <row r="131" spans="8:8" x14ac:dyDescent="0.25">
      <c r="H131" t="s">
        <v>1907</v>
      </c>
    </row>
    <row r="132" spans="8:8" x14ac:dyDescent="0.25">
      <c r="H132" t="s">
        <v>1908</v>
      </c>
    </row>
    <row r="133" spans="8:8" x14ac:dyDescent="0.25">
      <c r="H133" t="s">
        <v>1909</v>
      </c>
    </row>
    <row r="134" spans="8:8" x14ac:dyDescent="0.25">
      <c r="H134" t="s">
        <v>1910</v>
      </c>
    </row>
    <row r="135" spans="8:8" x14ac:dyDescent="0.25">
      <c r="H135" t="s">
        <v>1911</v>
      </c>
    </row>
    <row r="136" spans="8:8" x14ac:dyDescent="0.25">
      <c r="H136" t="s">
        <v>1912</v>
      </c>
    </row>
    <row r="137" spans="8:8" x14ac:dyDescent="0.25">
      <c r="H137" t="s">
        <v>1913</v>
      </c>
    </row>
    <row r="139" spans="8:8" x14ac:dyDescent="0.25">
      <c r="H139" t="s">
        <v>1914</v>
      </c>
    </row>
    <row r="140" spans="8:8" x14ac:dyDescent="0.25">
      <c r="H140" t="s">
        <v>1915</v>
      </c>
    </row>
    <row r="141" spans="8:8" x14ac:dyDescent="0.25">
      <c r="H141" t="s">
        <v>1916</v>
      </c>
    </row>
    <row r="142" spans="8:8" x14ac:dyDescent="0.25">
      <c r="H142" t="s">
        <v>1917</v>
      </c>
    </row>
    <row r="144" spans="8:8" x14ac:dyDescent="0.25">
      <c r="H144" t="s">
        <v>1579</v>
      </c>
    </row>
    <row r="145" spans="8:8" x14ac:dyDescent="0.25">
      <c r="H145" t="s">
        <v>1580</v>
      </c>
    </row>
    <row r="146" spans="8:8" x14ac:dyDescent="0.25">
      <c r="H146" t="s">
        <v>1581</v>
      </c>
    </row>
    <row r="147" spans="8:8" x14ac:dyDescent="0.25">
      <c r="H147" t="s">
        <v>1582</v>
      </c>
    </row>
    <row r="148" spans="8:8" x14ac:dyDescent="0.25">
      <c r="H148" t="s">
        <v>1583</v>
      </c>
    </row>
    <row r="149" spans="8:8" x14ac:dyDescent="0.25">
      <c r="H149" t="s">
        <v>1584</v>
      </c>
    </row>
    <row r="150" spans="8:8" x14ac:dyDescent="0.25">
      <c r="H150" t="s">
        <v>1585</v>
      </c>
    </row>
    <row r="151" spans="8:8" x14ac:dyDescent="0.25">
      <c r="H151" t="s">
        <v>1586</v>
      </c>
    </row>
    <row r="152" spans="8:8" x14ac:dyDescent="0.25">
      <c r="H152" t="s">
        <v>1587</v>
      </c>
    </row>
    <row r="153" spans="8:8" x14ac:dyDescent="0.25">
      <c r="H153" t="s">
        <v>1588</v>
      </c>
    </row>
    <row r="155" spans="8:8" x14ac:dyDescent="0.25">
      <c r="H155" t="s">
        <v>1589</v>
      </c>
    </row>
    <row r="156" spans="8:8" x14ac:dyDescent="0.25">
      <c r="H156" t="s">
        <v>1590</v>
      </c>
    </row>
    <row r="157" spans="8:8" x14ac:dyDescent="0.25">
      <c r="H157" t="s">
        <v>1591</v>
      </c>
    </row>
    <row r="158" spans="8:8" x14ac:dyDescent="0.25">
      <c r="H158" t="s">
        <v>1592</v>
      </c>
    </row>
    <row r="159" spans="8:8" x14ac:dyDescent="0.25">
      <c r="H159" t="s">
        <v>1593</v>
      </c>
    </row>
    <row r="160" spans="8:8" x14ac:dyDescent="0.25">
      <c r="H160" t="s">
        <v>1594</v>
      </c>
    </row>
    <row r="161" spans="8:8" x14ac:dyDescent="0.25">
      <c r="H161" t="s">
        <v>1595</v>
      </c>
    </row>
    <row r="162" spans="8:8" x14ac:dyDescent="0.25">
      <c r="H162" t="s">
        <v>1596</v>
      </c>
    </row>
    <row r="163" spans="8:8" x14ac:dyDescent="0.25">
      <c r="H163" t="s">
        <v>1597</v>
      </c>
    </row>
    <row r="164" spans="8:8" x14ac:dyDescent="0.25">
      <c r="H164" t="s">
        <v>1598</v>
      </c>
    </row>
    <row r="166" spans="8:8" x14ac:dyDescent="0.25">
      <c r="H166" t="s">
        <v>1599</v>
      </c>
    </row>
    <row r="167" spans="8:8" x14ac:dyDescent="0.25">
      <c r="H167" t="s">
        <v>1600</v>
      </c>
    </row>
    <row r="168" spans="8:8" x14ac:dyDescent="0.25">
      <c r="H168" t="s">
        <v>1601</v>
      </c>
    </row>
    <row r="169" spans="8:8" x14ac:dyDescent="0.25">
      <c r="H169" t="s">
        <v>1602</v>
      </c>
    </row>
    <row r="170" spans="8:8" x14ac:dyDescent="0.25">
      <c r="H170" t="s">
        <v>1603</v>
      </c>
    </row>
    <row r="171" spans="8:8" x14ac:dyDescent="0.25">
      <c r="H171" t="s">
        <v>1604</v>
      </c>
    </row>
    <row r="172" spans="8:8" x14ac:dyDescent="0.25">
      <c r="H172" t="s">
        <v>1605</v>
      </c>
    </row>
    <row r="173" spans="8:8" x14ac:dyDescent="0.25">
      <c r="H173" t="s">
        <v>1606</v>
      </c>
    </row>
    <row r="174" spans="8:8" x14ac:dyDescent="0.25">
      <c r="H174" t="s">
        <v>1607</v>
      </c>
    </row>
    <row r="175" spans="8:8" x14ac:dyDescent="0.25">
      <c r="H175" t="s">
        <v>1608</v>
      </c>
    </row>
    <row r="177" spans="8:8" x14ac:dyDescent="0.25">
      <c r="H177" t="s">
        <v>1701</v>
      </c>
    </row>
    <row r="178" spans="8:8" x14ac:dyDescent="0.25">
      <c r="H178" t="s">
        <v>1702</v>
      </c>
    </row>
    <row r="179" spans="8:8" x14ac:dyDescent="0.25">
      <c r="H179" t="s">
        <v>1703</v>
      </c>
    </row>
    <row r="180" spans="8:8" x14ac:dyDescent="0.25">
      <c r="H180" t="s">
        <v>1704</v>
      </c>
    </row>
    <row r="181" spans="8:8" x14ac:dyDescent="0.25">
      <c r="H181" t="s">
        <v>1705</v>
      </c>
    </row>
    <row r="182" spans="8:8" x14ac:dyDescent="0.25">
      <c r="H182" t="s">
        <v>1706</v>
      </c>
    </row>
    <row r="183" spans="8:8" x14ac:dyDescent="0.25">
      <c r="H183" t="s">
        <v>1707</v>
      </c>
    </row>
    <row r="184" spans="8:8" x14ac:dyDescent="0.25">
      <c r="H184" t="s">
        <v>1708</v>
      </c>
    </row>
    <row r="185" spans="8:8" x14ac:dyDescent="0.25">
      <c r="H185" t="s">
        <v>1709</v>
      </c>
    </row>
    <row r="186" spans="8:8" x14ac:dyDescent="0.25">
      <c r="H186" t="s">
        <v>1710</v>
      </c>
    </row>
    <row r="188" spans="8:8" x14ac:dyDescent="0.25">
      <c r="H188" t="s">
        <v>933</v>
      </c>
    </row>
    <row r="189" spans="8:8" x14ac:dyDescent="0.25">
      <c r="H189" t="s">
        <v>934</v>
      </c>
    </row>
    <row r="190" spans="8:8" x14ac:dyDescent="0.25">
      <c r="H190" t="s">
        <v>935</v>
      </c>
    </row>
    <row r="191" spans="8:8" x14ac:dyDescent="0.25">
      <c r="H191" t="s">
        <v>936</v>
      </c>
    </row>
    <row r="192" spans="8:8" x14ac:dyDescent="0.25">
      <c r="H192" t="s">
        <v>937</v>
      </c>
    </row>
    <row r="193" spans="8:8" x14ac:dyDescent="0.25">
      <c r="H193" t="s">
        <v>938</v>
      </c>
    </row>
    <row r="194" spans="8:8" x14ac:dyDescent="0.25">
      <c r="H194" t="s">
        <v>939</v>
      </c>
    </row>
    <row r="195" spans="8:8" x14ac:dyDescent="0.25">
      <c r="H195" t="s">
        <v>940</v>
      </c>
    </row>
    <row r="196" spans="8:8" x14ac:dyDescent="0.25">
      <c r="H196" t="s">
        <v>941</v>
      </c>
    </row>
    <row r="197" spans="8:8" x14ac:dyDescent="0.25">
      <c r="H197" t="s">
        <v>942</v>
      </c>
    </row>
    <row r="198" spans="8:8" x14ac:dyDescent="0.25">
      <c r="H198" t="s">
        <v>943</v>
      </c>
    </row>
    <row r="199" spans="8:8" x14ac:dyDescent="0.25">
      <c r="H199" t="s">
        <v>944</v>
      </c>
    </row>
    <row r="200" spans="8:8" x14ac:dyDescent="0.25">
      <c r="H200" t="s">
        <v>945</v>
      </c>
    </row>
    <row r="202" spans="8:8" x14ac:dyDescent="0.25">
      <c r="H202" t="s">
        <v>1268</v>
      </c>
    </row>
    <row r="203" spans="8:8" x14ac:dyDescent="0.25">
      <c r="H203" t="s">
        <v>1178</v>
      </c>
    </row>
    <row r="204" spans="8:8" x14ac:dyDescent="0.25">
      <c r="H204" t="s">
        <v>1269</v>
      </c>
    </row>
    <row r="205" spans="8:8" x14ac:dyDescent="0.25">
      <c r="H205" t="s">
        <v>1270</v>
      </c>
    </row>
    <row r="206" spans="8:8" x14ac:dyDescent="0.25">
      <c r="H206" t="s">
        <v>1179</v>
      </c>
    </row>
    <row r="207" spans="8:8" x14ac:dyDescent="0.25">
      <c r="H207" t="s">
        <v>1180</v>
      </c>
    </row>
    <row r="208" spans="8:8" x14ac:dyDescent="0.25">
      <c r="H208" t="s">
        <v>1181</v>
      </c>
    </row>
    <row r="209" spans="8:8" x14ac:dyDescent="0.25">
      <c r="H209" t="s">
        <v>1182</v>
      </c>
    </row>
    <row r="210" spans="8:8" x14ac:dyDescent="0.25">
      <c r="H210" t="s">
        <v>1183</v>
      </c>
    </row>
    <row r="211" spans="8:8" x14ac:dyDescent="0.25">
      <c r="H211" t="s">
        <v>1184</v>
      </c>
    </row>
    <row r="212" spans="8:8" x14ac:dyDescent="0.25">
      <c r="H212" t="s">
        <v>1185</v>
      </c>
    </row>
    <row r="214" spans="8:8" x14ac:dyDescent="0.25">
      <c r="H214" t="s">
        <v>903</v>
      </c>
    </row>
    <row r="215" spans="8:8" x14ac:dyDescent="0.25">
      <c r="H215" t="s">
        <v>904</v>
      </c>
    </row>
    <row r="216" spans="8:8" x14ac:dyDescent="0.25">
      <c r="H216" t="s">
        <v>905</v>
      </c>
    </row>
    <row r="217" spans="8:8" x14ac:dyDescent="0.25">
      <c r="H217" t="s">
        <v>906</v>
      </c>
    </row>
    <row r="218" spans="8:8" x14ac:dyDescent="0.25">
      <c r="H218" t="s">
        <v>907</v>
      </c>
    </row>
    <row r="219" spans="8:8" x14ac:dyDescent="0.25">
      <c r="H219" t="s">
        <v>908</v>
      </c>
    </row>
    <row r="220" spans="8:8" x14ac:dyDescent="0.25">
      <c r="H220" t="s">
        <v>909</v>
      </c>
    </row>
    <row r="221" spans="8:8" x14ac:dyDescent="0.25">
      <c r="H221" t="s">
        <v>910</v>
      </c>
    </row>
    <row r="222" spans="8:8" x14ac:dyDescent="0.25">
      <c r="H222" t="s">
        <v>911</v>
      </c>
    </row>
    <row r="223" spans="8:8" x14ac:dyDescent="0.25">
      <c r="H223" t="s">
        <v>912</v>
      </c>
    </row>
    <row r="224" spans="8:8" x14ac:dyDescent="0.25">
      <c r="H224" t="s">
        <v>913</v>
      </c>
    </row>
    <row r="225" spans="8:8" x14ac:dyDescent="0.25">
      <c r="H225" t="s">
        <v>914</v>
      </c>
    </row>
    <row r="226" spans="8:8" x14ac:dyDescent="0.25">
      <c r="H226" t="s">
        <v>915</v>
      </c>
    </row>
    <row r="227" spans="8:8" x14ac:dyDescent="0.25">
      <c r="H227" t="s">
        <v>916</v>
      </c>
    </row>
    <row r="228" spans="8:8" x14ac:dyDescent="0.25">
      <c r="H228" t="s">
        <v>917</v>
      </c>
    </row>
    <row r="230" spans="8:8" x14ac:dyDescent="0.25">
      <c r="H230" t="s">
        <v>918</v>
      </c>
    </row>
    <row r="231" spans="8:8" x14ac:dyDescent="0.25">
      <c r="H231" t="s">
        <v>919</v>
      </c>
    </row>
    <row r="232" spans="8:8" x14ac:dyDescent="0.25">
      <c r="H232" t="s">
        <v>920</v>
      </c>
    </row>
    <row r="233" spans="8:8" x14ac:dyDescent="0.25">
      <c r="H233" t="s">
        <v>921</v>
      </c>
    </row>
    <row r="234" spans="8:8" x14ac:dyDescent="0.25">
      <c r="H234" t="s">
        <v>922</v>
      </c>
    </row>
    <row r="235" spans="8:8" x14ac:dyDescent="0.25">
      <c r="H235" t="s">
        <v>923</v>
      </c>
    </row>
    <row r="236" spans="8:8" x14ac:dyDescent="0.25">
      <c r="H236" t="s">
        <v>924</v>
      </c>
    </row>
    <row r="237" spans="8:8" x14ac:dyDescent="0.25">
      <c r="H237" t="s">
        <v>925</v>
      </c>
    </row>
    <row r="238" spans="8:8" x14ac:dyDescent="0.25">
      <c r="H238" t="s">
        <v>926</v>
      </c>
    </row>
    <row r="239" spans="8:8" x14ac:dyDescent="0.25">
      <c r="H239" t="s">
        <v>927</v>
      </c>
    </row>
    <row r="240" spans="8:8" x14ac:dyDescent="0.25">
      <c r="H240" t="s">
        <v>928</v>
      </c>
    </row>
    <row r="241" spans="8:8" x14ac:dyDescent="0.25">
      <c r="H241" t="s">
        <v>929</v>
      </c>
    </row>
    <row r="242" spans="8:8" x14ac:dyDescent="0.25">
      <c r="H242" t="s">
        <v>930</v>
      </c>
    </row>
    <row r="243" spans="8:8" x14ac:dyDescent="0.25">
      <c r="H243" t="s">
        <v>931</v>
      </c>
    </row>
    <row r="244" spans="8:8" x14ac:dyDescent="0.25">
      <c r="H244" t="s">
        <v>932</v>
      </c>
    </row>
    <row r="246" spans="8:8" x14ac:dyDescent="0.25">
      <c r="H246" t="s">
        <v>125</v>
      </c>
    </row>
    <row r="247" spans="8:8" x14ac:dyDescent="0.25">
      <c r="H247" t="s">
        <v>948</v>
      </c>
    </row>
    <row r="248" spans="8:8" x14ac:dyDescent="0.25">
      <c r="H248" t="s">
        <v>953</v>
      </c>
    </row>
    <row r="249" spans="8:8" x14ac:dyDescent="0.25">
      <c r="H249" t="s">
        <v>949</v>
      </c>
    </row>
    <row r="250" spans="8:8" x14ac:dyDescent="0.25">
      <c r="H250" t="s">
        <v>950</v>
      </c>
    </row>
    <row r="251" spans="8:8" x14ac:dyDescent="0.25">
      <c r="H251" t="s">
        <v>951</v>
      </c>
    </row>
    <row r="252" spans="8:8" x14ac:dyDescent="0.25">
      <c r="H252" t="s">
        <v>952</v>
      </c>
    </row>
    <row r="253" spans="8:8" x14ac:dyDescent="0.25">
      <c r="H253" t="s">
        <v>1186</v>
      </c>
    </row>
    <row r="254" spans="8:8" x14ac:dyDescent="0.25">
      <c r="H254" t="s">
        <v>1187</v>
      </c>
    </row>
    <row r="255" spans="8:8" x14ac:dyDescent="0.25">
      <c r="H255" t="s">
        <v>1188</v>
      </c>
    </row>
    <row r="256" spans="8:8" x14ac:dyDescent="0.25">
      <c r="H256" t="s">
        <v>954</v>
      </c>
    </row>
    <row r="257" spans="8:8" x14ac:dyDescent="0.25">
      <c r="H257" t="s">
        <v>955</v>
      </c>
    </row>
    <row r="258" spans="8:8" x14ac:dyDescent="0.25">
      <c r="H258" t="s">
        <v>1189</v>
      </c>
    </row>
    <row r="259" spans="8:8" x14ac:dyDescent="0.25">
      <c r="H259" t="s">
        <v>1190</v>
      </c>
    </row>
    <row r="260" spans="8:8" x14ac:dyDescent="0.25">
      <c r="H260" t="s">
        <v>1959</v>
      </c>
    </row>
    <row r="261" spans="8:8" x14ac:dyDescent="0.25">
      <c r="H261" t="s">
        <v>1918</v>
      </c>
    </row>
    <row r="262" spans="8:8" x14ac:dyDescent="0.25">
      <c r="H262" t="s">
        <v>1919</v>
      </c>
    </row>
    <row r="263" spans="8:8" x14ac:dyDescent="0.25">
      <c r="H263" t="s">
        <v>1920</v>
      </c>
    </row>
    <row r="264" spans="8:8" x14ac:dyDescent="0.25">
      <c r="H264" t="s">
        <v>1921</v>
      </c>
    </row>
    <row r="265" spans="8:8" x14ac:dyDescent="0.25">
      <c r="H265" t="s">
        <v>1609</v>
      </c>
    </row>
    <row r="266" spans="8:8" x14ac:dyDescent="0.25">
      <c r="H266" t="s">
        <v>1610</v>
      </c>
    </row>
    <row r="267" spans="8:8" x14ac:dyDescent="0.25">
      <c r="H267" t="s">
        <v>1611</v>
      </c>
    </row>
    <row r="268" spans="8:8" x14ac:dyDescent="0.25">
      <c r="H268" t="s">
        <v>1711</v>
      </c>
    </row>
    <row r="269" spans="8:8" x14ac:dyDescent="0.25">
      <c r="H269" t="s">
        <v>958</v>
      </c>
    </row>
    <row r="270" spans="8:8" x14ac:dyDescent="0.25">
      <c r="H270" t="s">
        <v>1191</v>
      </c>
    </row>
    <row r="271" spans="8:8" x14ac:dyDescent="0.25">
      <c r="H271" t="s">
        <v>956</v>
      </c>
    </row>
    <row r="272" spans="8:8" x14ac:dyDescent="0.25">
      <c r="H272" t="s">
        <v>957</v>
      </c>
    </row>
    <row r="273" spans="8:8" x14ac:dyDescent="0.25">
      <c r="H273" t="s">
        <v>959</v>
      </c>
    </row>
    <row r="274" spans="8:8" x14ac:dyDescent="0.25">
      <c r="H274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2020-07-01T00:44:04Z</dcterms:modified>
</cp:coreProperties>
</file>