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Sync\Development\doc\"/>
    </mc:Choice>
  </mc:AlternateContent>
  <xr:revisionPtr revIDLastSave="0" documentId="13_ncr:1_{A48419F4-AD7A-4545-A1BB-24A1A8A77FE8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69" i="1" l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S19" i="1"/>
  <c r="Z19" i="1" s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5" i="1"/>
  <c r="Q5" i="1"/>
  <c r="Z4" i="1"/>
  <c r="AH4" i="1" s="1"/>
  <c r="Y4" i="1"/>
  <c r="AG4" i="1" s="1"/>
  <c r="X4" i="1"/>
  <c r="AF4" i="1" s="1"/>
  <c r="W4" i="1"/>
  <c r="AE4" i="1" s="1"/>
  <c r="U4" i="1"/>
  <c r="V4" i="1" s="1"/>
  <c r="T4" i="1"/>
  <c r="R4" i="1"/>
  <c r="S5" i="1" s="1"/>
  <c r="Q4" i="1"/>
  <c r="AH19" i="1" l="1"/>
  <c r="AD19" i="1"/>
  <c r="W19" i="1"/>
  <c r="T19" i="1"/>
  <c r="X19" i="1"/>
  <c r="U19" i="1"/>
  <c r="V19" i="1" s="1"/>
  <c r="Y19" i="1"/>
  <c r="S20" i="1"/>
  <c r="S6" i="1"/>
  <c r="S7" i="1" s="1"/>
  <c r="Z5" i="1"/>
  <c r="U5" i="1"/>
  <c r="V5" i="1" s="1"/>
  <c r="X5" i="1"/>
  <c r="T5" i="1"/>
  <c r="W5" i="1"/>
  <c r="Y5" i="1"/>
  <c r="AB4" i="1"/>
  <c r="AC4" i="1"/>
  <c r="AD4" i="1"/>
  <c r="AA4" i="1"/>
  <c r="AE19" i="1" l="1"/>
  <c r="AA19" i="1"/>
  <c r="X20" i="1"/>
  <c r="T20" i="1"/>
  <c r="Z20" i="1"/>
  <c r="U20" i="1"/>
  <c r="V20" i="1" s="1"/>
  <c r="Y20" i="1"/>
  <c r="W20" i="1"/>
  <c r="S21" i="1"/>
  <c r="AG19" i="1"/>
  <c r="AC19" i="1"/>
  <c r="AF19" i="1"/>
  <c r="AB19" i="1"/>
  <c r="W6" i="1"/>
  <c r="AE6" i="1" s="1"/>
  <c r="U6" i="1"/>
  <c r="V6" i="1" s="1"/>
  <c r="X6" i="1"/>
  <c r="AF6" i="1" s="1"/>
  <c r="Z6" i="1"/>
  <c r="AH6" i="1" s="1"/>
  <c r="T6" i="1"/>
  <c r="Y6" i="1"/>
  <c r="AC6" i="1" s="1"/>
  <c r="W7" i="1"/>
  <c r="T7" i="1"/>
  <c r="Z7" i="1"/>
  <c r="Y7" i="1"/>
  <c r="U7" i="1"/>
  <c r="X7" i="1"/>
  <c r="AC5" i="1"/>
  <c r="AG5" i="1"/>
  <c r="AE5" i="1"/>
  <c r="AA5" i="1"/>
  <c r="AH5" i="1"/>
  <c r="AD5" i="1"/>
  <c r="AF5" i="1"/>
  <c r="AB5" i="1"/>
  <c r="AF20" i="1" l="1"/>
  <c r="AB20" i="1"/>
  <c r="AE20" i="1"/>
  <c r="AA20" i="1"/>
  <c r="AC20" i="1"/>
  <c r="AG20" i="1"/>
  <c r="Z21" i="1"/>
  <c r="W21" i="1"/>
  <c r="S22" i="1"/>
  <c r="U21" i="1"/>
  <c r="V21" i="1" s="1"/>
  <c r="Y21" i="1"/>
  <c r="T21" i="1"/>
  <c r="X21" i="1"/>
  <c r="AD20" i="1"/>
  <c r="AH20" i="1"/>
  <c r="AA6" i="1"/>
  <c r="AB6" i="1"/>
  <c r="AG6" i="1"/>
  <c r="AD6" i="1"/>
  <c r="V7" i="1"/>
  <c r="S8" i="1"/>
  <c r="S9" i="1" s="1"/>
  <c r="S10" i="1" s="1"/>
  <c r="S11" i="1" s="1"/>
  <c r="S12" i="1" s="1"/>
  <c r="AF7" i="1"/>
  <c r="AB7" i="1"/>
  <c r="AH7" i="1"/>
  <c r="AD7" i="1"/>
  <c r="AG7" i="1"/>
  <c r="AC7" i="1"/>
  <c r="AE7" i="1"/>
  <c r="AA7" i="1"/>
  <c r="AA21" i="1" l="1"/>
  <c r="AE21" i="1"/>
  <c r="AH21" i="1"/>
  <c r="AD21" i="1"/>
  <c r="AG21" i="1"/>
  <c r="AC21" i="1"/>
  <c r="AB21" i="1"/>
  <c r="AF21" i="1"/>
  <c r="X22" i="1"/>
  <c r="T22" i="1"/>
  <c r="S23" i="1"/>
  <c r="Z22" i="1"/>
  <c r="U22" i="1"/>
  <c r="V22" i="1" s="1"/>
  <c r="Y22" i="1"/>
  <c r="W22" i="1"/>
  <c r="T8" i="1"/>
  <c r="Y8" i="1"/>
  <c r="AC8" i="1" s="1"/>
  <c r="W8" i="1"/>
  <c r="AA8" i="1" s="1"/>
  <c r="U8" i="1"/>
  <c r="V8" i="1" s="1"/>
  <c r="X8" i="1"/>
  <c r="AF8" i="1" s="1"/>
  <c r="Z8" i="1"/>
  <c r="AH8" i="1" s="1"/>
  <c r="W9" i="1"/>
  <c r="X9" i="1"/>
  <c r="T9" i="1"/>
  <c r="Z9" i="1"/>
  <c r="Y9" i="1"/>
  <c r="U9" i="1"/>
  <c r="V9" i="1" s="1"/>
  <c r="Z23" i="1" l="1"/>
  <c r="X23" i="1"/>
  <c r="W23" i="1"/>
  <c r="S24" i="1"/>
  <c r="U23" i="1"/>
  <c r="V23" i="1" s="1"/>
  <c r="Y23" i="1"/>
  <c r="T23" i="1"/>
  <c r="AD22" i="1"/>
  <c r="AH22" i="1"/>
  <c r="AA22" i="1"/>
  <c r="AE22" i="1"/>
  <c r="AC22" i="1"/>
  <c r="AG22" i="1"/>
  <c r="AF22" i="1"/>
  <c r="AB22" i="1"/>
  <c r="AG8" i="1"/>
  <c r="AE8" i="1"/>
  <c r="AB8" i="1"/>
  <c r="AD8" i="1"/>
  <c r="AF9" i="1"/>
  <c r="AB9" i="1"/>
  <c r="Z10" i="1"/>
  <c r="Y10" i="1"/>
  <c r="U10" i="1"/>
  <c r="V10" i="1" s="1"/>
  <c r="X10" i="1"/>
  <c r="T10" i="1"/>
  <c r="W10" i="1"/>
  <c r="AG9" i="1"/>
  <c r="AC9" i="1"/>
  <c r="AH9" i="1"/>
  <c r="AD9" i="1"/>
  <c r="AE9" i="1"/>
  <c r="AA9" i="1"/>
  <c r="AA23" i="1" l="1"/>
  <c r="AE23" i="1"/>
  <c r="AC23" i="1"/>
  <c r="AG23" i="1"/>
  <c r="AB23" i="1"/>
  <c r="AF23" i="1"/>
  <c r="X24" i="1"/>
  <c r="T24" i="1"/>
  <c r="Z24" i="1"/>
  <c r="U24" i="1"/>
  <c r="V24" i="1" s="1"/>
  <c r="S25" i="1"/>
  <c r="Y24" i="1"/>
  <c r="W24" i="1"/>
  <c r="AH23" i="1"/>
  <c r="AD23" i="1"/>
  <c r="AB10" i="1"/>
  <c r="AF10" i="1"/>
  <c r="AH10" i="1"/>
  <c r="AD10" i="1"/>
  <c r="X11" i="1"/>
  <c r="T11" i="1"/>
  <c r="W11" i="1"/>
  <c r="U11" i="1"/>
  <c r="V11" i="1" s="1"/>
  <c r="Y11" i="1"/>
  <c r="Z11" i="1"/>
  <c r="AC10" i="1"/>
  <c r="AG10" i="1"/>
  <c r="AE10" i="1"/>
  <c r="AA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G24" i="1" l="1"/>
  <c r="AC24" i="1"/>
  <c r="Z25" i="1"/>
  <c r="X25" i="1"/>
  <c r="T25" i="1"/>
  <c r="S26" i="1"/>
  <c r="U25" i="1"/>
  <c r="V25" i="1" s="1"/>
  <c r="Y25" i="1"/>
  <c r="W25" i="1"/>
  <c r="AF24" i="1"/>
  <c r="AB24" i="1"/>
  <c r="AE24" i="1"/>
  <c r="AA24" i="1"/>
  <c r="AH24" i="1"/>
  <c r="AD24" i="1"/>
  <c r="AH11" i="1"/>
  <c r="AD11" i="1"/>
  <c r="AE11" i="1"/>
  <c r="AA11" i="1"/>
  <c r="Z12" i="1"/>
  <c r="Y12" i="1"/>
  <c r="T12" i="1"/>
  <c r="W12" i="1"/>
  <c r="U12" i="1"/>
  <c r="X12" i="1"/>
  <c r="AC11" i="1"/>
  <c r="AG11" i="1"/>
  <c r="AF11" i="1"/>
  <c r="AB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F25" i="1" l="1"/>
  <c r="AB25" i="1"/>
  <c r="X26" i="1"/>
  <c r="T26" i="1"/>
  <c r="Z26" i="1"/>
  <c r="Y26" i="1"/>
  <c r="S27" i="1"/>
  <c r="W26" i="1"/>
  <c r="U26" i="1"/>
  <c r="V26" i="1" s="1"/>
  <c r="AC25" i="1"/>
  <c r="AG25" i="1"/>
  <c r="AH25" i="1"/>
  <c r="AD25" i="1"/>
  <c r="AE25" i="1"/>
  <c r="AA25" i="1"/>
  <c r="V12" i="1"/>
  <c r="S13" i="1"/>
  <c r="S14" i="1" s="1"/>
  <c r="S15" i="1" s="1"/>
  <c r="S16" i="1" s="1"/>
  <c r="S17" i="1" s="1"/>
  <c r="AE12" i="1"/>
  <c r="AA12" i="1"/>
  <c r="AF12" i="1"/>
  <c r="AB12" i="1"/>
  <c r="AG12" i="1"/>
  <c r="AC12" i="1"/>
  <c r="AH12" i="1"/>
  <c r="AD12" i="1"/>
  <c r="AA26" i="1" l="1"/>
  <c r="AE26" i="1"/>
  <c r="Z27" i="1"/>
  <c r="X27" i="1"/>
  <c r="T27" i="1"/>
  <c r="S28" i="1"/>
  <c r="W27" i="1"/>
  <c r="U27" i="1"/>
  <c r="V27" i="1" s="1"/>
  <c r="Y27" i="1"/>
  <c r="AF26" i="1"/>
  <c r="AB26" i="1"/>
  <c r="AG26" i="1"/>
  <c r="AC26" i="1"/>
  <c r="AH26" i="1"/>
  <c r="AD26" i="1"/>
  <c r="U13" i="1"/>
  <c r="V13" i="1" s="1"/>
  <c r="Z13" i="1"/>
  <c r="AD13" i="1" s="1"/>
  <c r="T13" i="1"/>
  <c r="W13" i="1"/>
  <c r="AE13" i="1" s="1"/>
  <c r="Y13" i="1"/>
  <c r="AG13" i="1" s="1"/>
  <c r="X13" i="1"/>
  <c r="AB13" i="1" s="1"/>
  <c r="Z14" i="1"/>
  <c r="Y14" i="1"/>
  <c r="T14" i="1"/>
  <c r="W14" i="1"/>
  <c r="U14" i="1"/>
  <c r="V14" i="1" s="1"/>
  <c r="X14" i="1"/>
  <c r="AC13" i="1"/>
  <c r="AF13" i="1"/>
  <c r="AH13" i="1"/>
  <c r="AF27" i="1" l="1"/>
  <c r="AB27" i="1"/>
  <c r="X28" i="1"/>
  <c r="T28" i="1"/>
  <c r="Z28" i="1"/>
  <c r="Y28" i="1"/>
  <c r="S29" i="1"/>
  <c r="W28" i="1"/>
  <c r="U28" i="1"/>
  <c r="V28" i="1" s="1"/>
  <c r="AE27" i="1"/>
  <c r="AA27" i="1"/>
  <c r="AH27" i="1"/>
  <c r="AD27" i="1"/>
  <c r="AC27" i="1"/>
  <c r="AG27" i="1"/>
  <c r="AA13" i="1"/>
  <c r="AF14" i="1"/>
  <c r="AB14" i="1"/>
  <c r="AC14" i="1"/>
  <c r="AG14" i="1"/>
  <c r="X15" i="1"/>
  <c r="T15" i="1"/>
  <c r="Y15" i="1"/>
  <c r="W15" i="1"/>
  <c r="U15" i="1"/>
  <c r="V15" i="1" s="1"/>
  <c r="Z15" i="1"/>
  <c r="AA14" i="1"/>
  <c r="AE14" i="1"/>
  <c r="AH14" i="1"/>
  <c r="AD14" i="1"/>
  <c r="AA28" i="1" l="1"/>
  <c r="AE28" i="1"/>
  <c r="Z29" i="1"/>
  <c r="X29" i="1"/>
  <c r="T29" i="1"/>
  <c r="S30" i="1"/>
  <c r="W29" i="1"/>
  <c r="U29" i="1"/>
  <c r="V29" i="1" s="1"/>
  <c r="Y29" i="1"/>
  <c r="AF28" i="1"/>
  <c r="AB28" i="1"/>
  <c r="AG28" i="1"/>
  <c r="AC28" i="1"/>
  <c r="AH28" i="1"/>
  <c r="AD28" i="1"/>
  <c r="AE15" i="1"/>
  <c r="AA15" i="1"/>
  <c r="AD15" i="1"/>
  <c r="AH15" i="1"/>
  <c r="AC15" i="1"/>
  <c r="AG15" i="1"/>
  <c r="Z16" i="1"/>
  <c r="Y16" i="1"/>
  <c r="T16" i="1"/>
  <c r="X16" i="1"/>
  <c r="W16" i="1"/>
  <c r="U16" i="1"/>
  <c r="V16" i="1" s="1"/>
  <c r="AF15" i="1"/>
  <c r="AB15" i="1"/>
  <c r="X30" i="1" l="1"/>
  <c r="T30" i="1"/>
  <c r="Z30" i="1"/>
  <c r="Y30" i="1"/>
  <c r="S31" i="1"/>
  <c r="W30" i="1"/>
  <c r="U30" i="1"/>
  <c r="V30" i="1" s="1"/>
  <c r="AF29" i="1"/>
  <c r="AB29" i="1"/>
  <c r="AE29" i="1"/>
  <c r="AA29" i="1"/>
  <c r="AH29" i="1"/>
  <c r="AD29" i="1"/>
  <c r="AC29" i="1"/>
  <c r="AG29" i="1"/>
  <c r="X17" i="1"/>
  <c r="T17" i="1"/>
  <c r="Y17" i="1"/>
  <c r="W17" i="1"/>
  <c r="U17" i="1"/>
  <c r="Z17" i="1"/>
  <c r="AB16" i="1"/>
  <c r="AF16" i="1"/>
  <c r="AH16" i="1"/>
  <c r="AD16" i="1"/>
  <c r="AA16" i="1"/>
  <c r="AE16" i="1"/>
  <c r="AC16" i="1"/>
  <c r="AG16" i="1"/>
  <c r="AG30" i="1" l="1"/>
  <c r="AC30" i="1"/>
  <c r="AH30" i="1"/>
  <c r="AD30" i="1"/>
  <c r="AA30" i="1"/>
  <c r="AE30" i="1"/>
  <c r="S32" i="1"/>
  <c r="Y31" i="1"/>
  <c r="Z31" i="1"/>
  <c r="U31" i="1"/>
  <c r="V31" i="1" s="1"/>
  <c r="X31" i="1"/>
  <c r="T31" i="1"/>
  <c r="W31" i="1"/>
  <c r="AF30" i="1"/>
  <c r="AB30" i="1"/>
  <c r="V17" i="1"/>
  <c r="S18" i="1"/>
  <c r="AE17" i="1"/>
  <c r="AA17" i="1"/>
  <c r="AH17" i="1"/>
  <c r="AD17" i="1"/>
  <c r="AC17" i="1"/>
  <c r="AG17" i="1"/>
  <c r="AF17" i="1"/>
  <c r="AB17" i="1"/>
  <c r="AG31" i="1" l="1"/>
  <c r="AC31" i="1"/>
  <c r="AF31" i="1"/>
  <c r="AB31" i="1"/>
  <c r="W32" i="1"/>
  <c r="Y32" i="1"/>
  <c r="T32" i="1"/>
  <c r="X32" i="1"/>
  <c r="S33" i="1"/>
  <c r="U32" i="1"/>
  <c r="V32" i="1" s="1"/>
  <c r="Z32" i="1"/>
  <c r="AA31" i="1"/>
  <c r="AE31" i="1"/>
  <c r="AD31" i="1"/>
  <c r="AH31" i="1"/>
  <c r="X18" i="1"/>
  <c r="AF18" i="1" s="1"/>
  <c r="T18" i="1"/>
  <c r="Z18" i="1"/>
  <c r="AH18" i="1" s="1"/>
  <c r="W18" i="1"/>
  <c r="AA18" i="1" s="1"/>
  <c r="U18" i="1"/>
  <c r="V18" i="1" s="1"/>
  <c r="Y18" i="1"/>
  <c r="AG18" i="1" s="1"/>
  <c r="AB18" i="1"/>
  <c r="AB32" i="1" l="1"/>
  <c r="AF32" i="1"/>
  <c r="AD32" i="1"/>
  <c r="AH32" i="1"/>
  <c r="AC32" i="1"/>
  <c r="AG32" i="1"/>
  <c r="S34" i="1"/>
  <c r="Y33" i="1"/>
  <c r="U33" i="1"/>
  <c r="V33" i="1" s="1"/>
  <c r="Z33" i="1"/>
  <c r="T33" i="1"/>
  <c r="X33" i="1"/>
  <c r="W33" i="1"/>
  <c r="AE32" i="1"/>
  <c r="AA32" i="1"/>
  <c r="AC18" i="1"/>
  <c r="AD18" i="1"/>
  <c r="AE18" i="1"/>
  <c r="AG33" i="1" l="1"/>
  <c r="AC33" i="1"/>
  <c r="AD33" i="1"/>
  <c r="AH33" i="1"/>
  <c r="AF33" i="1"/>
  <c r="AB33" i="1"/>
  <c r="W34" i="1"/>
  <c r="Y34" i="1"/>
  <c r="T34" i="1"/>
  <c r="X34" i="1"/>
  <c r="S35" i="1"/>
  <c r="Z34" i="1"/>
  <c r="U34" i="1"/>
  <c r="V34" i="1" s="1"/>
  <c r="AA33" i="1"/>
  <c r="AE33" i="1"/>
  <c r="AD34" i="1" l="1"/>
  <c r="AH34" i="1"/>
  <c r="AC34" i="1"/>
  <c r="AG34" i="1"/>
  <c r="AE34" i="1"/>
  <c r="AA34" i="1"/>
  <c r="AB34" i="1"/>
  <c r="AF34" i="1"/>
  <c r="S36" i="1"/>
  <c r="Y35" i="1"/>
  <c r="U35" i="1"/>
  <c r="V35" i="1" s="1"/>
  <c r="Z35" i="1"/>
  <c r="T35" i="1"/>
  <c r="X35" i="1"/>
  <c r="W35" i="1"/>
  <c r="AD35" i="1" l="1"/>
  <c r="AH35" i="1"/>
  <c r="AF35" i="1"/>
  <c r="AB35" i="1"/>
  <c r="AG35" i="1"/>
  <c r="AC35" i="1"/>
  <c r="AA35" i="1"/>
  <c r="AE35" i="1"/>
  <c r="W36" i="1"/>
  <c r="Y36" i="1"/>
  <c r="T36" i="1"/>
  <c r="X36" i="1"/>
  <c r="S37" i="1"/>
  <c r="U36" i="1"/>
  <c r="V36" i="1" s="1"/>
  <c r="Z36" i="1"/>
  <c r="AB36" i="1" l="1"/>
  <c r="AF36" i="1"/>
  <c r="AD36" i="1"/>
  <c r="AH36" i="1"/>
  <c r="AC36" i="1"/>
  <c r="AG36" i="1"/>
  <c r="S38" i="1"/>
  <c r="Y37" i="1"/>
  <c r="U37" i="1"/>
  <c r="V37" i="1" s="1"/>
  <c r="Z37" i="1"/>
  <c r="T37" i="1"/>
  <c r="X37" i="1"/>
  <c r="W37" i="1"/>
  <c r="AE36" i="1"/>
  <c r="AA36" i="1"/>
  <c r="AG37" i="1" l="1"/>
  <c r="AC37" i="1"/>
  <c r="W38" i="1"/>
  <c r="Y38" i="1"/>
  <c r="T38" i="1"/>
  <c r="X38" i="1"/>
  <c r="S39" i="1"/>
  <c r="Z38" i="1"/>
  <c r="U38" i="1"/>
  <c r="V38" i="1" s="1"/>
  <c r="AF37" i="1"/>
  <c r="AB37" i="1"/>
  <c r="AD37" i="1"/>
  <c r="AH37" i="1"/>
  <c r="AA37" i="1"/>
  <c r="AE37" i="1"/>
  <c r="S40" i="1" l="1"/>
  <c r="Y39" i="1"/>
  <c r="U39" i="1"/>
  <c r="V39" i="1" s="1"/>
  <c r="Z39" i="1"/>
  <c r="T39" i="1"/>
  <c r="X39" i="1"/>
  <c r="W39" i="1"/>
  <c r="AB38" i="1"/>
  <c r="AF38" i="1"/>
  <c r="AD38" i="1"/>
  <c r="AH38" i="1"/>
  <c r="AC38" i="1"/>
  <c r="AG38" i="1"/>
  <c r="AE38" i="1"/>
  <c r="AA38" i="1"/>
  <c r="AA39" i="1" l="1"/>
  <c r="AE39" i="1"/>
  <c r="AF39" i="1"/>
  <c r="AB39" i="1"/>
  <c r="AG39" i="1"/>
  <c r="AC39" i="1"/>
  <c r="AD39" i="1"/>
  <c r="AH39" i="1"/>
  <c r="W40" i="1"/>
  <c r="S41" i="1"/>
  <c r="Y40" i="1"/>
  <c r="T40" i="1"/>
  <c r="X40" i="1"/>
  <c r="U40" i="1"/>
  <c r="V40" i="1" s="1"/>
  <c r="Z40" i="1"/>
  <c r="S42" i="1" l="1"/>
  <c r="Y41" i="1"/>
  <c r="U41" i="1"/>
  <c r="V41" i="1" s="1"/>
  <c r="X41" i="1"/>
  <c r="T41" i="1"/>
  <c r="Z41" i="1"/>
  <c r="W41" i="1"/>
  <c r="AH40" i="1"/>
  <c r="AD40" i="1"/>
  <c r="AC40" i="1"/>
  <c r="AG40" i="1"/>
  <c r="AF40" i="1"/>
  <c r="AB40" i="1"/>
  <c r="AE40" i="1"/>
  <c r="AA40" i="1"/>
  <c r="AA41" i="1" l="1"/>
  <c r="AE41" i="1"/>
  <c r="AH41" i="1"/>
  <c r="AD41" i="1"/>
  <c r="AG41" i="1"/>
  <c r="AC41" i="1"/>
  <c r="AF41" i="1"/>
  <c r="AB41" i="1"/>
  <c r="W42" i="1"/>
  <c r="Z42" i="1"/>
  <c r="S43" i="1"/>
  <c r="X42" i="1"/>
  <c r="U42" i="1"/>
  <c r="V42" i="1" s="1"/>
  <c r="T42" i="1"/>
  <c r="Y42" i="1"/>
  <c r="AF42" i="1" l="1"/>
  <c r="AB42" i="1"/>
  <c r="AH42" i="1"/>
  <c r="AD42" i="1"/>
  <c r="AC42" i="1"/>
  <c r="AG42" i="1"/>
  <c r="S44" i="1"/>
  <c r="Y43" i="1"/>
  <c r="U43" i="1"/>
  <c r="V43" i="1" s="1"/>
  <c r="X43" i="1"/>
  <c r="T43" i="1"/>
  <c r="Z43" i="1"/>
  <c r="W43" i="1"/>
  <c r="AE42" i="1"/>
  <c r="AA42" i="1"/>
  <c r="AH43" i="1" l="1"/>
  <c r="AD43" i="1"/>
  <c r="AG43" i="1"/>
  <c r="AC43" i="1"/>
  <c r="W44" i="1"/>
  <c r="Z44" i="1"/>
  <c r="S45" i="1"/>
  <c r="X44" i="1"/>
  <c r="U44" i="1"/>
  <c r="V44" i="1" s="1"/>
  <c r="T44" i="1"/>
  <c r="Y44" i="1"/>
  <c r="AF43" i="1"/>
  <c r="AB43" i="1"/>
  <c r="AA43" i="1"/>
  <c r="AE43" i="1"/>
  <c r="AF44" i="1" l="1"/>
  <c r="AB44" i="1"/>
  <c r="AC44" i="1"/>
  <c r="AG44" i="1"/>
  <c r="AH44" i="1"/>
  <c r="AD44" i="1"/>
  <c r="S46" i="1"/>
  <c r="Y45" i="1"/>
  <c r="U45" i="1"/>
  <c r="V45" i="1" s="1"/>
  <c r="X45" i="1"/>
  <c r="T45" i="1"/>
  <c r="Z45" i="1"/>
  <c r="W45" i="1"/>
  <c r="AE44" i="1"/>
  <c r="AA44" i="1"/>
  <c r="AG45" i="1" l="1"/>
  <c r="AC45" i="1"/>
  <c r="AH45" i="1"/>
  <c r="AD45" i="1"/>
  <c r="W46" i="1"/>
  <c r="Z46" i="1"/>
  <c r="S47" i="1"/>
  <c r="X46" i="1"/>
  <c r="U46" i="1"/>
  <c r="V46" i="1" s="1"/>
  <c r="T46" i="1"/>
  <c r="Y46" i="1"/>
  <c r="AF45" i="1"/>
  <c r="AB45" i="1"/>
  <c r="AA45" i="1"/>
  <c r="AE45" i="1"/>
  <c r="AF46" i="1" l="1"/>
  <c r="AB46" i="1"/>
  <c r="AC46" i="1"/>
  <c r="AG46" i="1"/>
  <c r="S48" i="1"/>
  <c r="Y47" i="1"/>
  <c r="U47" i="1"/>
  <c r="V47" i="1" s="1"/>
  <c r="X47" i="1"/>
  <c r="T47" i="1"/>
  <c r="Z47" i="1"/>
  <c r="W47" i="1"/>
  <c r="AH46" i="1"/>
  <c r="AD46" i="1"/>
  <c r="AE46" i="1"/>
  <c r="AA46" i="1"/>
  <c r="AG47" i="1" l="1"/>
  <c r="AC47" i="1"/>
  <c r="AF47" i="1"/>
  <c r="AB47" i="1"/>
  <c r="AA47" i="1"/>
  <c r="AE47" i="1"/>
  <c r="AH47" i="1"/>
  <c r="AD47" i="1"/>
  <c r="W48" i="1"/>
  <c r="Z48" i="1"/>
  <c r="S49" i="1"/>
  <c r="X48" i="1"/>
  <c r="U48" i="1"/>
  <c r="V48" i="1" s="1"/>
  <c r="T48" i="1"/>
  <c r="Y48" i="1"/>
  <c r="AG48" i="1" l="1"/>
  <c r="AC48" i="1"/>
  <c r="AF48" i="1"/>
  <c r="AB48" i="1"/>
  <c r="Z49" i="1"/>
  <c r="W49" i="1"/>
  <c r="S50" i="1"/>
  <c r="U49" i="1"/>
  <c r="V49" i="1" s="1"/>
  <c r="Y49" i="1"/>
  <c r="X49" i="1"/>
  <c r="T49" i="1"/>
  <c r="AD48" i="1"/>
  <c r="AH48" i="1"/>
  <c r="AE48" i="1"/>
  <c r="AA48" i="1"/>
  <c r="AB49" i="1" l="1"/>
  <c r="AF49" i="1"/>
  <c r="X50" i="1"/>
  <c r="T50" i="1"/>
  <c r="Z50" i="1"/>
  <c r="U50" i="1"/>
  <c r="V50" i="1" s="1"/>
  <c r="Y50" i="1"/>
  <c r="S51" i="1"/>
  <c r="W50" i="1"/>
  <c r="AA49" i="1"/>
  <c r="AE49" i="1"/>
  <c r="AG49" i="1"/>
  <c r="AC49" i="1"/>
  <c r="AH49" i="1"/>
  <c r="AD49" i="1"/>
  <c r="AF50" i="1" l="1"/>
  <c r="AB50" i="1"/>
  <c r="Z51" i="1"/>
  <c r="W51" i="1"/>
  <c r="S52" i="1"/>
  <c r="U51" i="1"/>
  <c r="V51" i="1" s="1"/>
  <c r="Y51" i="1"/>
  <c r="X51" i="1"/>
  <c r="T51" i="1"/>
  <c r="AG50" i="1"/>
  <c r="AC50" i="1"/>
  <c r="AE50" i="1"/>
  <c r="AA50" i="1"/>
  <c r="AD50" i="1"/>
  <c r="AH50" i="1"/>
  <c r="AB51" i="1" l="1"/>
  <c r="AF51" i="1"/>
  <c r="AA51" i="1"/>
  <c r="AE51" i="1"/>
  <c r="AG51" i="1"/>
  <c r="AC51" i="1"/>
  <c r="AH51" i="1"/>
  <c r="AD51" i="1"/>
  <c r="X52" i="1"/>
  <c r="T52" i="1"/>
  <c r="Z52" i="1"/>
  <c r="U52" i="1"/>
  <c r="V52" i="1" s="1"/>
  <c r="Y52" i="1"/>
  <c r="S53" i="1"/>
  <c r="W52" i="1"/>
  <c r="AE52" i="1" l="1"/>
  <c r="AA52" i="1"/>
  <c r="AD52" i="1"/>
  <c r="AH52" i="1"/>
  <c r="Z53" i="1"/>
  <c r="W53" i="1"/>
  <c r="S54" i="1"/>
  <c r="U53" i="1"/>
  <c r="V53" i="1" s="1"/>
  <c r="Y53" i="1"/>
  <c r="X53" i="1"/>
  <c r="T53" i="1"/>
  <c r="AG52" i="1"/>
  <c r="AC52" i="1"/>
  <c r="AF52" i="1"/>
  <c r="AB52" i="1"/>
  <c r="AB53" i="1" l="1"/>
  <c r="AF53" i="1"/>
  <c r="AA53" i="1"/>
  <c r="AE53" i="1"/>
  <c r="AG53" i="1"/>
  <c r="AC53" i="1"/>
  <c r="AH53" i="1"/>
  <c r="AD53" i="1"/>
  <c r="X54" i="1"/>
  <c r="T54" i="1"/>
  <c r="Z54" i="1"/>
  <c r="U54" i="1"/>
  <c r="V54" i="1" s="1"/>
  <c r="Y54" i="1"/>
  <c r="S55" i="1"/>
  <c r="W54" i="1"/>
  <c r="AE54" i="1" l="1"/>
  <c r="AA54" i="1"/>
  <c r="AD54" i="1"/>
  <c r="AH54" i="1"/>
  <c r="Z55" i="1"/>
  <c r="W55" i="1"/>
  <c r="S56" i="1"/>
  <c r="U55" i="1"/>
  <c r="V55" i="1" s="1"/>
  <c r="Y55" i="1"/>
  <c r="X55" i="1"/>
  <c r="T55" i="1"/>
  <c r="AG54" i="1"/>
  <c r="AC54" i="1"/>
  <c r="AF54" i="1"/>
  <c r="AB54" i="1"/>
  <c r="AB55" i="1" l="1"/>
  <c r="AF55" i="1"/>
  <c r="AA55" i="1"/>
  <c r="AE55" i="1"/>
  <c r="AG55" i="1"/>
  <c r="AC55" i="1"/>
  <c r="AH55" i="1"/>
  <c r="AD55" i="1"/>
  <c r="X56" i="1"/>
  <c r="T56" i="1"/>
  <c r="Z56" i="1"/>
  <c r="U56" i="1"/>
  <c r="V56" i="1" s="1"/>
  <c r="Y56" i="1"/>
  <c r="W56" i="1"/>
  <c r="S57" i="1"/>
  <c r="Z57" i="1" l="1"/>
  <c r="W57" i="1"/>
  <c r="S58" i="1"/>
  <c r="U57" i="1"/>
  <c r="V57" i="1" s="1"/>
  <c r="Y57" i="1"/>
  <c r="T57" i="1"/>
  <c r="X57" i="1"/>
  <c r="AD56" i="1"/>
  <c r="AH56" i="1"/>
  <c r="AE56" i="1"/>
  <c r="AA56" i="1"/>
  <c r="AC56" i="1"/>
  <c r="AG56" i="1"/>
  <c r="AF56" i="1"/>
  <c r="AB56" i="1"/>
  <c r="AG57" i="1" l="1"/>
  <c r="AC57" i="1"/>
  <c r="AH57" i="1"/>
  <c r="AD57" i="1"/>
  <c r="AB57" i="1"/>
  <c r="AF57" i="1"/>
  <c r="X58" i="1"/>
  <c r="T58" i="1"/>
  <c r="Z58" i="1"/>
  <c r="U58" i="1"/>
  <c r="V58" i="1" s="1"/>
  <c r="Y58" i="1"/>
  <c r="W58" i="1"/>
  <c r="S59" i="1"/>
  <c r="AA57" i="1"/>
  <c r="AE57" i="1"/>
  <c r="AC58" i="1" l="1"/>
  <c r="AG58" i="1"/>
  <c r="AE58" i="1"/>
  <c r="AA58" i="1"/>
  <c r="AF58" i="1"/>
  <c r="AB58" i="1"/>
  <c r="Z59" i="1"/>
  <c r="W59" i="1"/>
  <c r="S60" i="1"/>
  <c r="U59" i="1"/>
  <c r="V59" i="1" s="1"/>
  <c r="Y59" i="1"/>
  <c r="T59" i="1"/>
  <c r="X59" i="1"/>
  <c r="AD58" i="1"/>
  <c r="AH58" i="1"/>
  <c r="AA59" i="1" l="1"/>
  <c r="AE59" i="1"/>
  <c r="AG59" i="1"/>
  <c r="AC59" i="1"/>
  <c r="AH59" i="1"/>
  <c r="AD59" i="1"/>
  <c r="AB59" i="1"/>
  <c r="AF59" i="1"/>
  <c r="X60" i="1"/>
  <c r="T60" i="1"/>
  <c r="Z60" i="1"/>
  <c r="U60" i="1"/>
  <c r="V60" i="1" s="1"/>
  <c r="Y60" i="1"/>
  <c r="W60" i="1"/>
  <c r="S61" i="1"/>
  <c r="AD60" i="1" l="1"/>
  <c r="AH60" i="1"/>
  <c r="Z61" i="1"/>
  <c r="W61" i="1"/>
  <c r="S62" i="1"/>
  <c r="U61" i="1"/>
  <c r="V61" i="1" s="1"/>
  <c r="Y61" i="1"/>
  <c r="T61" i="1"/>
  <c r="X61" i="1"/>
  <c r="AE60" i="1"/>
  <c r="AA60" i="1"/>
  <c r="AC60" i="1"/>
  <c r="AG60" i="1"/>
  <c r="AF60" i="1"/>
  <c r="AB60" i="1"/>
  <c r="AB61" i="1" l="1"/>
  <c r="AF61" i="1"/>
  <c r="AA61" i="1"/>
  <c r="AE61" i="1"/>
  <c r="AG61" i="1"/>
  <c r="AC61" i="1"/>
  <c r="AH61" i="1"/>
  <c r="AD61" i="1"/>
  <c r="X62" i="1"/>
  <c r="T62" i="1"/>
  <c r="Z62" i="1"/>
  <c r="U62" i="1"/>
  <c r="V62" i="1" s="1"/>
  <c r="Y62" i="1"/>
  <c r="W62" i="1"/>
  <c r="S63" i="1"/>
  <c r="Z63" i="1" l="1"/>
  <c r="S64" i="1"/>
  <c r="Y63" i="1"/>
  <c r="U63" i="1"/>
  <c r="V63" i="1" s="1"/>
  <c r="X63" i="1"/>
  <c r="W63" i="1"/>
  <c r="T63" i="1"/>
  <c r="AD62" i="1"/>
  <c r="AH62" i="1"/>
  <c r="AE62" i="1"/>
  <c r="AA62" i="1"/>
  <c r="AC62" i="1"/>
  <c r="AG62" i="1"/>
  <c r="AF62" i="1"/>
  <c r="AB62" i="1"/>
  <c r="X64" i="1" l="1"/>
  <c r="T64" i="1"/>
  <c r="W64" i="1"/>
  <c r="U64" i="1"/>
  <c r="V64" i="1" s="1"/>
  <c r="Z64" i="1"/>
  <c r="S65" i="1"/>
  <c r="Y64" i="1"/>
  <c r="AG63" i="1"/>
  <c r="AC63" i="1"/>
  <c r="AE63" i="1"/>
  <c r="AA63" i="1"/>
  <c r="AF63" i="1"/>
  <c r="AB63" i="1"/>
  <c r="AH63" i="1"/>
  <c r="AD63" i="1"/>
  <c r="Z65" i="1" l="1"/>
  <c r="Y65" i="1"/>
  <c r="U65" i="1"/>
  <c r="V65" i="1" s="1"/>
  <c r="X65" i="1"/>
  <c r="W65" i="1"/>
  <c r="T65" i="1"/>
  <c r="AC64" i="1"/>
  <c r="AG64" i="1"/>
  <c r="AE64" i="1"/>
  <c r="AA64" i="1"/>
  <c r="AD64" i="1"/>
  <c r="AH64" i="1"/>
  <c r="AF64" i="1"/>
  <c r="AB64" i="1"/>
  <c r="AG65" i="1" l="1"/>
  <c r="AC65" i="1"/>
  <c r="AE65" i="1"/>
  <c r="AA65" i="1"/>
  <c r="S66" i="1"/>
  <c r="AF65" i="1"/>
  <c r="AB65" i="1"/>
  <c r="AH65" i="1"/>
  <c r="AD65" i="1"/>
  <c r="X66" i="1" l="1"/>
  <c r="T66" i="1"/>
  <c r="W66" i="1"/>
  <c r="Z66" i="1"/>
  <c r="Y66" i="1"/>
  <c r="U66" i="1"/>
  <c r="V66" i="1" s="1"/>
  <c r="S67" i="1"/>
  <c r="AH66" i="1" l="1"/>
  <c r="AD66" i="1"/>
  <c r="Z67" i="1"/>
  <c r="S68" i="1"/>
  <c r="Y67" i="1"/>
  <c r="U67" i="1"/>
  <c r="V67" i="1" s="1"/>
  <c r="X67" i="1"/>
  <c r="T67" i="1"/>
  <c r="W67" i="1"/>
  <c r="AE66" i="1"/>
  <c r="AA66" i="1"/>
  <c r="AG66" i="1"/>
  <c r="AC66" i="1"/>
  <c r="AF66" i="1"/>
  <c r="AB66" i="1"/>
  <c r="X68" i="1" l="1"/>
  <c r="T68" i="1"/>
  <c r="W68" i="1"/>
  <c r="Z68" i="1"/>
  <c r="Y68" i="1"/>
  <c r="U68" i="1"/>
  <c r="V68" i="1" s="1"/>
  <c r="S69" i="1"/>
  <c r="AH67" i="1"/>
  <c r="AD67" i="1"/>
  <c r="AF67" i="1"/>
  <c r="AB67" i="1"/>
  <c r="AE67" i="1"/>
  <c r="AA67" i="1"/>
  <c r="AG67" i="1"/>
  <c r="AC67" i="1"/>
  <c r="AH68" i="1" l="1"/>
  <c r="AD68" i="1"/>
  <c r="Z69" i="1"/>
  <c r="Y69" i="1"/>
  <c r="U69" i="1"/>
  <c r="V69" i="1" s="1"/>
  <c r="X69" i="1"/>
  <c r="T69" i="1"/>
  <c r="W69" i="1"/>
  <c r="AE68" i="1"/>
  <c r="AA68" i="1"/>
  <c r="AG68" i="1"/>
  <c r="AC68" i="1"/>
  <c r="AF68" i="1"/>
  <c r="AB68" i="1"/>
  <c r="AE69" i="1" l="1"/>
  <c r="AA69" i="1"/>
  <c r="AG69" i="1"/>
  <c r="AC69" i="1"/>
  <c r="AH69" i="1"/>
  <c r="AD69" i="1"/>
  <c r="AF69" i="1"/>
  <c r="AB69" i="1"/>
</calcChain>
</file>

<file path=xl/sharedStrings.xml><?xml version="1.0" encoding="utf-8"?>
<sst xmlns="http://schemas.openxmlformats.org/spreadsheetml/2006/main" count="2282" uniqueCount="1061">
  <si>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</si>
  <si>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</si>
  <si>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</si>
  <si>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</si>
  <si>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</si>
  <si>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</si>
  <si>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</si>
  <si>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</si>
  <si>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</si>
  <si>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</si>
  <si>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</si>
  <si>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</si>
  <si>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</si>
  <si>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</si>
  <si>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</si>
  <si>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</si>
  <si>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</si>
  <si>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</si>
  <si>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</si>
  <si>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</si>
  <si>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</si>
  <si>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</si>
  <si>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</si>
  <si>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</si>
  <si>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</si>
  <si>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</si>
  <si>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</si>
  <si>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</si>
  <si>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</si>
  <si>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</si>
  <si>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</si>
  <si>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</si>
  <si>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</si>
  <si>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</si>
  <si>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</si>
  <si>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</si>
  <si>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</si>
  <si>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</si>
  <si>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</si>
  <si>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</si>
  <si>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</si>
  <si>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</si>
  <si>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</si>
  <si>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</si>
  <si>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</si>
  <si>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</si>
  <si>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</si>
  <si>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</si>
  <si>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</si>
  <si>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</si>
  <si>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</si>
  <si>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</si>
  <si>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</si>
  <si>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</si>
  <si>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</si>
  <si>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</si>
  <si>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</si>
  <si>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</si>
  <si>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</si>
  <si>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</si>
  <si>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</si>
  <si>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</si>
  <si>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</si>
  <si>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</si>
  <si>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</si>
  <si>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</si>
  <si>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</si>
  <si>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</si>
  <si>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</si>
  <si>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</si>
  <si>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</si>
  <si>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</si>
  <si>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</si>
  <si>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</si>
  <si>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</si>
  <si>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</si>
  <si>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</si>
  <si>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</si>
  <si>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</si>
  <si>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</si>
  <si>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</si>
  <si>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</si>
  <si>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</si>
  <si>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</si>
  <si>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</si>
  <si>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</si>
  <si>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</si>
  <si>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</si>
  <si>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</si>
  <si>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</si>
  <si>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</si>
  <si>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</si>
  <si>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</si>
  <si>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</si>
  <si>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</si>
  <si>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</si>
  <si>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</si>
  <si>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</si>
  <si>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</si>
  <si>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</si>
  <si>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</si>
  <si>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</si>
  <si>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</si>
  <si>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</si>
  <si>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</si>
  <si>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</si>
  <si>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</si>
  <si>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</si>
  <si>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</si>
  <si>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</si>
  <si>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</si>
  <si>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</si>
  <si>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</si>
  <si>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</si>
  <si>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</si>
  <si>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</si>
  <si>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</si>
  <si>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</si>
  <si>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</si>
  <si>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</si>
  <si>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</si>
  <si>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</si>
  <si>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(others =&gt; '0')</t>
  </si>
  <si>
    <t>bStart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</si>
  <si>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</si>
  <si>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</si>
  <si>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</si>
  <si>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</si>
  <si>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</si>
  <si>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</si>
  <si>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</si>
  <si>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</si>
  <si>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</si>
  <si>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</si>
  <si>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</si>
  <si>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</si>
  <si>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</si>
  <si>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</si>
  <si>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</si>
  <si>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</si>
  <si>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</si>
  <si>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</si>
  <si>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</si>
  <si>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</si>
  <si>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</si>
  <si>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</si>
  <si>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</si>
  <si>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</si>
  <si>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</si>
  <si>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</si>
  <si>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</si>
  <si>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</si>
  <si>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</si>
  <si>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</si>
  <si>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</si>
  <si>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</si>
  <si>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</si>
  <si>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</si>
  <si>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</si>
  <si>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</si>
  <si>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</si>
  <si>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</si>
  <si>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</si>
  <si>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</si>
  <si>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</si>
  <si>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</si>
  <si>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</si>
  <si>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</si>
  <si>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</si>
  <si>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</si>
  <si>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</si>
  <si>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</si>
  <si>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</si>
  <si>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</si>
  <si>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</si>
  <si>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</si>
  <si>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</si>
  <si>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</si>
  <si>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</si>
  <si>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</si>
  <si>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>Sync Status Register</t>
  </si>
  <si>
    <t>Sync Interrupt Enable Register</t>
  </si>
  <si>
    <t>Sync Interrupt Flag Clear Register</t>
  </si>
  <si>
    <t>Sync Interrupt Flag Register</t>
  </si>
  <si>
    <t>Pre-Sync Interrupt Enable Register</t>
  </si>
  <si>
    <t>Pre-Sync Interrupt Flag Clear Register</t>
  </si>
  <si>
    <t>Pre-Sync Interrupt Flag Register</t>
  </si>
  <si>
    <t>Sync Master Blank Time Config Register</t>
  </si>
  <si>
    <t>Sync Blank Time Config Register</t>
  </si>
  <si>
    <t>Sync Period Config Register</t>
  </si>
  <si>
    <t>Sync Shot Time Config Register</t>
  </si>
  <si>
    <t>Sync General Config Register</t>
  </si>
  <si>
    <t>Sync Error Injection Register</t>
  </si>
  <si>
    <t>Sync Control Register</t>
  </si>
  <si>
    <t>Sync IRQ Number Register</t>
  </si>
  <si>
    <t>Internal/External_n</t>
  </si>
  <si>
    <t>State</t>
  </si>
  <si>
    <t>Error code</t>
  </si>
  <si>
    <t>Cycle number</t>
  </si>
  <si>
    <t>Error interrupt enable bit</t>
  </si>
  <si>
    <t>Blank pulse interrupt enable bit</t>
  </si>
  <si>
    <t>Master pulse interrupt enable bit</t>
  </si>
  <si>
    <t>Normal pulse interrupt enable bit</t>
  </si>
  <si>
    <t>Last pulse interrupt enable bit</t>
  </si>
  <si>
    <t>Error interrupt flag clear bit</t>
  </si>
  <si>
    <t>Blank pulse interrupt flag clear bit</t>
  </si>
  <si>
    <t>Master pulse interrupt flag clear bit</t>
  </si>
  <si>
    <t>Normal pulse interrupt flag clear bit</t>
  </si>
  <si>
    <t>Last pulse interrupt flag clear bit</t>
  </si>
  <si>
    <t>Error interrupt flag bit</t>
  </si>
  <si>
    <t>Blank pulse interrupt flag bit</t>
  </si>
  <si>
    <t>Master pulse interrupt flag bit</t>
  </si>
  <si>
    <t>Normal pulse interrupt flag bit</t>
  </si>
  <si>
    <t>Last pulse interrupt flag bit</t>
  </si>
  <si>
    <t>Pre-Blank pulse interrupt enable bit</t>
  </si>
  <si>
    <t>Pre-Master pulse interrupt enable bit</t>
  </si>
  <si>
    <t>Pre-Normal pulse interrupt enable bit</t>
  </si>
  <si>
    <t>Pre-Last pulse interrupt enable bit</t>
  </si>
  <si>
    <t>Pre-Blank pulse interrupt flag clear bit</t>
  </si>
  <si>
    <t>Pre-Master pulse interrupt flag clear bit</t>
  </si>
  <si>
    <t>Pre-Normal pulse interrupt flag clear bit</t>
  </si>
  <si>
    <t>Pre-Last pulse interrupt flag clear bit</t>
  </si>
  <si>
    <t>Pre-Blank pulse interrupt flag bit</t>
  </si>
  <si>
    <t>Pre-Master pulse interrupt flag bit</t>
  </si>
  <si>
    <t>Pre-Normal pulse interrupt flag bit</t>
  </si>
  <si>
    <t>Pre-Last pulse interrupt flag bit</t>
  </si>
  <si>
    <t>MBT value</t>
  </si>
  <si>
    <t>BT value</t>
  </si>
  <si>
    <t>Pre-Blank value</t>
  </si>
  <si>
    <t>Period value</t>
  </si>
  <si>
    <t>OST value</t>
  </si>
  <si>
    <t>Signal polarity</t>
  </si>
  <si>
    <t>Number of cycles</t>
  </si>
  <si>
    <t>Reserved</t>
  </si>
  <si>
    <t>Internal/External(n) bit</t>
  </si>
  <si>
    <t>Start bit</t>
  </si>
  <si>
    <t>Reset bit</t>
  </si>
  <si>
    <t>One Shot bit</t>
  </si>
  <si>
    <t>Err_inj bit</t>
  </si>
  <si>
    <t>Sync_out  out enable bit</t>
  </si>
  <si>
    <t>Channel 1 out enable bit</t>
  </si>
  <si>
    <t>Channel 2 out enable bit</t>
  </si>
  <si>
    <t>Channel 3 out enable bit</t>
  </si>
  <si>
    <t>Channel 4 out enable bit</t>
  </si>
  <si>
    <t>Channel 5 out enable bit</t>
  </si>
  <si>
    <t>Channel 6 out enable bit</t>
  </si>
  <si>
    <t>Channel 7 out enable bit</t>
  </si>
  <si>
    <t>Channel 8 out enable bit</t>
  </si>
  <si>
    <t>Sync IRQ number</t>
  </si>
  <si>
    <t>Pre-Sync IRQ number</t>
  </si>
  <si>
    <t>t_sync_status_register</t>
  </si>
  <si>
    <t>t_sync_interrupt_enable_register</t>
  </si>
  <si>
    <t>t_sync_interrupt_flag_clear_register</t>
  </si>
  <si>
    <t>t_sync_interrupt_flag_register</t>
  </si>
  <si>
    <t>t_pre_sync_interrupt_enable_register</t>
  </si>
  <si>
    <t>t_pre_sync_interrupt_flag_clear_register</t>
  </si>
  <si>
    <t>t_pre_sync_interrupt_flag_register</t>
  </si>
  <si>
    <t>t_sync_config_register</t>
  </si>
  <si>
    <t>t_sync_general_config_register</t>
  </si>
  <si>
    <t>t_sync_error_injection_register</t>
  </si>
  <si>
    <t>t_sync_control_register</t>
  </si>
  <si>
    <t>t_sync_irq_number_register</t>
  </si>
  <si>
    <t>sync_status_reg</t>
  </si>
  <si>
    <t>sync_irq_enable_reg</t>
  </si>
  <si>
    <t>sync_irq_flag_clear_reg</t>
  </si>
  <si>
    <t>sync_irq_flag_reg</t>
  </si>
  <si>
    <t>pre_sync_irq_enable_reg</t>
  </si>
  <si>
    <t>pre_sync_irq_flag_clear_reg</t>
  </si>
  <si>
    <t>pre_sync_irq_flag_reg</t>
  </si>
  <si>
    <t>sync_config_reg</t>
  </si>
  <si>
    <t>sync_general_config_reg</t>
  </si>
  <si>
    <t>sync_error_injection_reg</t>
  </si>
  <si>
    <t>sync_control_reg</t>
  </si>
  <si>
    <t>sync_irq_number_reg</t>
  </si>
  <si>
    <t>int_ext_n</t>
  </si>
  <si>
    <t>state</t>
  </si>
  <si>
    <t>error_code</t>
  </si>
  <si>
    <t>cycle_number</t>
  </si>
  <si>
    <t>error_irq_enable</t>
  </si>
  <si>
    <t>blank_pulse_irq_enable</t>
  </si>
  <si>
    <t>master_pulse_irq_enable</t>
  </si>
  <si>
    <t>normal_pulse_irq_enable</t>
  </si>
  <si>
    <t>last_pulse_irq_enable</t>
  </si>
  <si>
    <t>error_irq_flag_clear</t>
  </si>
  <si>
    <t>blank_pulse_irq_flag_clear</t>
  </si>
  <si>
    <t>master_pulse_irq_flag_clear</t>
  </si>
  <si>
    <t>normal_pulse_irq_flag_clear</t>
  </si>
  <si>
    <t>last_pulse_irq_flag_clear</t>
  </si>
  <si>
    <t>error_irq_flag</t>
  </si>
  <si>
    <t>blank_pulse_irq_flag</t>
  </si>
  <si>
    <t>master_pulse_irq_flag</t>
  </si>
  <si>
    <t>normal_pulse_irq_flag</t>
  </si>
  <si>
    <t>last_pulse_irq_flag</t>
  </si>
  <si>
    <t>pre_blank_pulse_irq_enable</t>
  </si>
  <si>
    <t>pre_master_pulse_irq_enable</t>
  </si>
  <si>
    <t>pre_normal_pulse_irq_enable</t>
  </si>
  <si>
    <t>pre_last_pulse_irq_enable</t>
  </si>
  <si>
    <t>pre_blank_pulse_irq_flag_clear</t>
  </si>
  <si>
    <t>pre_master_pulse_irq_flag_clear</t>
  </si>
  <si>
    <t>pre_normal_pulse_irq_flag_clear</t>
  </si>
  <si>
    <t>pre_last_pulse_irq_flag_clear</t>
  </si>
  <si>
    <t>pre_blank_pulse_irq_flag</t>
  </si>
  <si>
    <t>pre_master_pulse_irq_flag</t>
  </si>
  <si>
    <t>pre_normal_pulse_irq_flag</t>
  </si>
  <si>
    <t>pre_last_pulse_irq_flag</t>
  </si>
  <si>
    <t>master_blank_time</t>
  </si>
  <si>
    <t>blank_time</t>
  </si>
  <si>
    <t>pre_blank_time</t>
  </si>
  <si>
    <t>period</t>
  </si>
  <si>
    <t>one_shot_time</t>
  </si>
  <si>
    <t>signal_polarity</t>
  </si>
  <si>
    <t>number_of_cycles</t>
  </si>
  <si>
    <t>error_injection</t>
  </si>
  <si>
    <t>start</t>
  </si>
  <si>
    <t>reset</t>
  </si>
  <si>
    <t>one_shot</t>
  </si>
  <si>
    <t>err_inj</t>
  </si>
  <si>
    <t>out_enable</t>
  </si>
  <si>
    <t>channel_1_enable</t>
  </si>
  <si>
    <t>channel_2_enable</t>
  </si>
  <si>
    <t>channel_3_enable</t>
  </si>
  <si>
    <t>channel_4_enable</t>
  </si>
  <si>
    <t>channel_5_enable</t>
  </si>
  <si>
    <t>channel_6_enable</t>
  </si>
  <si>
    <t>channel_7_enable</t>
  </si>
  <si>
    <t>channel_8_enable</t>
  </si>
  <si>
    <t>sync_irq_number</t>
  </si>
  <si>
    <t>pre_sync_irq_number</t>
  </si>
  <si>
    <t>Sync Last Blank Time Config Register</t>
  </si>
  <si>
    <t>LBT value</t>
  </si>
  <si>
    <t>last_blank_time</t>
  </si>
  <si>
    <t>Sync Last Period Config Register</t>
  </si>
  <si>
    <t>Last Period value</t>
  </si>
  <si>
    <t>last_period</t>
  </si>
  <si>
    <t>t_sync_mm_write_registers</t>
  </si>
  <si>
    <t>t_sync_mm_read_registers</t>
  </si>
  <si>
    <t>not g_SYNC_DEFAULT_STBY_POLARITY</t>
  </si>
  <si>
    <t>SyncModule</t>
  </si>
  <si>
    <t>SyncStatus</t>
  </si>
  <si>
    <t>bIntExtN</t>
  </si>
  <si>
    <t>ucState</t>
  </si>
  <si>
    <t>ucErrorCode</t>
  </si>
  <si>
    <t>ucCycleNumber</t>
  </si>
  <si>
    <t>SyncIrqEn</t>
  </si>
  <si>
    <t>bErrorIrqEn</t>
  </si>
  <si>
    <t>bBlankPulseIrqEn</t>
  </si>
  <si>
    <t>bMasterPulseIrqEn</t>
  </si>
  <si>
    <t>bNormalPulseIrqEn</t>
  </si>
  <si>
    <t>bLastPulseIrqEn</t>
  </si>
  <si>
    <t>SyncIrqFlagClr</t>
  </si>
  <si>
    <t>bErrorIrqFlagClr</t>
  </si>
  <si>
    <t>bBlankPulseIrqFlagClr</t>
  </si>
  <si>
    <t>bMasterPulseIrqFlagClr</t>
  </si>
  <si>
    <t>bNormalPulseIrqFlagClr</t>
  </si>
  <si>
    <t>bLastPulseIrqFlagClr</t>
  </si>
  <si>
    <t>SyncIrqFlag</t>
  </si>
  <si>
    <t>bErrorIrqFlag</t>
  </si>
  <si>
    <t>bBlankPulseIrqFlag</t>
  </si>
  <si>
    <t>bMasterPulseIrqFlag</t>
  </si>
  <si>
    <t>bNormalPulseIrqFlag</t>
  </si>
  <si>
    <t>bLastPulseIrqFlag</t>
  </si>
  <si>
    <t>PreSyncIrqEn</t>
  </si>
  <si>
    <t>bPreBlankPulseIrqEn</t>
  </si>
  <si>
    <t>bPreMasterPulseIrqEn</t>
  </si>
  <si>
    <t>bPreNormalPulseIrqEn</t>
  </si>
  <si>
    <t>bPreLastPulseIrqEn</t>
  </si>
  <si>
    <t>PreSyncIrqFlagClr</t>
  </si>
  <si>
    <t>bPreBlankPulseIrqFlagClr</t>
  </si>
  <si>
    <t>bPreMasterPulseIrqFlagClr</t>
  </si>
  <si>
    <t>bPreNormalPulseIrqFlagClr</t>
  </si>
  <si>
    <t>bPreLastPulseIrqFlagClr</t>
  </si>
  <si>
    <t>PreSyncIrqFlag</t>
  </si>
  <si>
    <t>bPreBlankPulseIrqFlag</t>
  </si>
  <si>
    <t>bPreMasterPulseIrqFlag</t>
  </si>
  <si>
    <t>bPreNormalPulseIrqFlag</t>
  </si>
  <si>
    <t>bPreLastPulseIrqFlag</t>
  </si>
  <si>
    <t>SyncConfig</t>
  </si>
  <si>
    <t>uliMasterBlankTime</t>
  </si>
  <si>
    <t>uliBlankTime</t>
  </si>
  <si>
    <t>uliPreBlankTime</t>
  </si>
  <si>
    <t>uliPeriod</t>
  </si>
  <si>
    <t>uliOneShotTime</t>
  </si>
  <si>
    <t>SyncGeneralConfig</t>
  </si>
  <si>
    <t>bSignalPolarity</t>
  </si>
  <si>
    <t>ucNumberOfCycles</t>
  </si>
  <si>
    <t>SyncErrorInjection</t>
  </si>
  <si>
    <t>uliErrorInjection</t>
  </si>
  <si>
    <t>SyncControl</t>
  </si>
  <si>
    <t>bReset</t>
  </si>
  <si>
    <t>bOneShot</t>
  </si>
  <si>
    <t>bErrInj</t>
  </si>
  <si>
    <t>bOutEn</t>
  </si>
  <si>
    <t>bChannel1En</t>
  </si>
  <si>
    <t>bChannel2En</t>
  </si>
  <si>
    <t>bChannel3En</t>
  </si>
  <si>
    <t>bChannel4En</t>
  </si>
  <si>
    <t>bChannel5En</t>
  </si>
  <si>
    <t>bChannel6En</t>
  </si>
  <si>
    <t>bChannel7En</t>
  </si>
  <si>
    <t>bChannel8En</t>
  </si>
  <si>
    <t>SyncIRQNumber</t>
  </si>
  <si>
    <t>uliSyncIrqNumber</t>
  </si>
  <si>
    <t>uliPreSyncIrqNumber</t>
  </si>
  <si>
    <t>uliLastBlankTime</t>
  </si>
  <si>
    <t>uliLastPeriod</t>
  </si>
  <si>
    <t>Sync Pre-Blank Time Config Register</t>
  </si>
  <si>
    <t>Sync Master Detection Time</t>
  </si>
  <si>
    <t>Master Detection Time value</t>
  </si>
  <si>
    <t>master_detection_time</t>
  </si>
  <si>
    <t>uliMasterDetectionTime</t>
  </si>
  <si>
    <t>c_AVALON_MM_SYNC_MAX_ADDR</t>
  </si>
  <si>
    <t>c_AVALON_MM_SYNC_MIN_ADDR</t>
  </si>
  <si>
    <t>mm_write_reg_i</t>
  </si>
  <si>
    <t>mm_read_reg_i</t>
  </si>
  <si>
    <t>avalon_mm_o</t>
  </si>
  <si>
    <t>avalon_mm_i</t>
  </si>
  <si>
    <t>mm_read_address_i</t>
  </si>
  <si>
    <t>mm_write_reg_o</t>
  </si>
  <si>
    <t>mm_write_address_i</t>
  </si>
  <si>
    <t>constant c_AVALON_MM_SYNC_MIN_ADDR : natural range 0 to 255 := 16#00#;</t>
  </si>
  <si>
    <t>-- Sync Status Register</t>
  </si>
  <si>
    <t>type t_sync_status_register is record</t>
  </si>
  <si>
    <t xml:space="preserve">  int_ext_n : std_logic; -- Internal/External_n</t>
  </si>
  <si>
    <t xml:space="preserve">  state : std_logic_vector(7 downto 0); -- State</t>
  </si>
  <si>
    <t xml:space="preserve">  error_code : std_logic_vector(7 downto 0); -- Error code</t>
  </si>
  <si>
    <t xml:space="preserve">  cycle_number : std_logic_vector(7 downto 0); -- Cycle number</t>
  </si>
  <si>
    <t>end record t_sync_status_register;</t>
  </si>
  <si>
    <t>-- Sync Interrupt Enable Register</t>
  </si>
  <si>
    <t>type t_sync_interrupt_enable_register is record</t>
  </si>
  <si>
    <t xml:space="preserve">  error_irq_enable : std_logic; -- Error interrupt enable bit</t>
  </si>
  <si>
    <t xml:space="preserve">  blank_pulse_irq_enable : std_logic; -- Blank pulse interrupt enable bit</t>
  </si>
  <si>
    <t xml:space="preserve">  master_pulse_irq_enable : std_logic; -- Master pulse interrupt enable bit</t>
  </si>
  <si>
    <t xml:space="preserve">  normal_pulse_irq_enable : std_logic; -- Normal pulse interrupt enable bit</t>
  </si>
  <si>
    <t xml:space="preserve">  last_pulse_irq_enable : std_logic; -- Last pulse interrupt enable bit</t>
  </si>
  <si>
    <t>end record t_sync_interrupt_enable_register;</t>
  </si>
  <si>
    <t>-- Sync Interrupt Flag Clear Register</t>
  </si>
  <si>
    <t>type t_sync_interrupt_flag_clear_register is record</t>
  </si>
  <si>
    <t xml:space="preserve">  error_irq_flag_clear : std_logic; -- Error interrupt flag clear bit</t>
  </si>
  <si>
    <t xml:space="preserve">  blank_pulse_irq_flag_clear : std_logic; -- Blank pulse interrupt flag clear bit</t>
  </si>
  <si>
    <t xml:space="preserve">  master_pulse_irq_flag_clear : std_logic; -- Master pulse interrupt flag clear bit</t>
  </si>
  <si>
    <t xml:space="preserve">  normal_pulse_irq_flag_clear : std_logic; -- Normal pulse interrupt flag clear bit</t>
  </si>
  <si>
    <t xml:space="preserve">  last_pulse_irq_flag_clear : std_logic; -- Last pulse interrupt flag clear bit</t>
  </si>
  <si>
    <t>end record t_sync_interrupt_flag_clear_register;</t>
  </si>
  <si>
    <t>-- Sync Interrupt Flag Register</t>
  </si>
  <si>
    <t>type t_sync_interrupt_flag_register is record</t>
  </si>
  <si>
    <t xml:space="preserve">  error_irq_flag : std_logic; -- Error interrupt flag bit</t>
  </si>
  <si>
    <t xml:space="preserve">  blank_pulse_irq_flag : std_logic; -- Blank pulse interrupt flag bit</t>
  </si>
  <si>
    <t xml:space="preserve">  master_pulse_irq_flag : std_logic; -- Master pulse interrupt flag bit</t>
  </si>
  <si>
    <t xml:space="preserve">  normal_pulse_irq_flag : std_logic; -- Normal pulse interrupt flag bit</t>
  </si>
  <si>
    <t xml:space="preserve">  last_pulse_irq_flag : std_logic; -- Last pulse interrupt flag bit</t>
  </si>
  <si>
    <t>end record t_sync_interrupt_flag_register;</t>
  </si>
  <si>
    <t>-- Pre-Sync Interrupt Enable Register</t>
  </si>
  <si>
    <t>type t_pre_sync_interrupt_enable_register is record</t>
  </si>
  <si>
    <t xml:space="preserve">  pre_blank_pulse_irq_enable : std_logic; -- Pre-Blank pulse interrupt enable bit</t>
  </si>
  <si>
    <t xml:space="preserve">  pre_master_pulse_irq_enable : std_logic; -- Pre-Master pulse interrupt enable bit</t>
  </si>
  <si>
    <t xml:space="preserve">  pre_normal_pulse_irq_enable : std_logic; -- Pre-Normal pulse interrupt enable bit</t>
  </si>
  <si>
    <t xml:space="preserve">  pre_last_pulse_irq_enable : std_logic; -- Pre-Last pulse interrupt enable bit</t>
  </si>
  <si>
    <t>end record t_pre_sync_interrupt_enable_register;</t>
  </si>
  <si>
    <t>-- Pre-Sync Interrupt Flag Clear Register</t>
  </si>
  <si>
    <t>type t_pre_sync_interrupt_flag_clear_register is record</t>
  </si>
  <si>
    <t xml:space="preserve">  pre_blank_pulse_irq_flag_clear : std_logic; -- Pre-Blank pulse interrupt flag clear bit</t>
  </si>
  <si>
    <t xml:space="preserve">  pre_master_pulse_irq_flag_clear : std_logic; -- Pre-Master pulse interrupt flag clear bit</t>
  </si>
  <si>
    <t xml:space="preserve">  pre_normal_pulse_irq_flag_clear : std_logic; -- Pre-Normal pulse interrupt flag clear bit</t>
  </si>
  <si>
    <t xml:space="preserve">  pre_last_pulse_irq_flag_clear : std_logic; -- Pre-Last pulse interrupt flag clear bit</t>
  </si>
  <si>
    <t>end record t_pre_sync_interrupt_flag_clear_register;</t>
  </si>
  <si>
    <t>-- Pre-Sync Interrupt Flag Register</t>
  </si>
  <si>
    <t>type t_pre_sync_interrupt_flag_register is record</t>
  </si>
  <si>
    <t xml:space="preserve">  pre_blank_pulse_irq_flag : std_logic; -- Pre-Blank pulse interrupt flag bit</t>
  </si>
  <si>
    <t xml:space="preserve">  pre_master_pulse_irq_flag : std_logic; -- Pre-Master pulse interrupt flag bit</t>
  </si>
  <si>
    <t xml:space="preserve">  pre_normal_pulse_irq_flag : std_logic; -- Pre-Normal pulse interrupt flag bit</t>
  </si>
  <si>
    <t xml:space="preserve">  pre_last_pulse_irq_flag : std_logic; -- Pre-Last pulse interrupt flag bit</t>
  </si>
  <si>
    <t>end record t_pre_sync_interrupt_flag_register;</t>
  </si>
  <si>
    <t>-- Sync Master Blank Time Config Register</t>
  </si>
  <si>
    <t>type t_sync_config_register is record</t>
  </si>
  <si>
    <t xml:space="preserve">  master_blank_time : std_logic_vector(31 downto 0); -- MBT value</t>
  </si>
  <si>
    <t xml:space="preserve">  blank_time : std_logic_vector(31 downto 0); -- BT value</t>
  </si>
  <si>
    <t xml:space="preserve">  last_blank_time : std_logic_vector(31 downto 0); -- LBT value</t>
  </si>
  <si>
    <t xml:space="preserve">  pre_blank_time : std_logic_vector(31 downto 0); -- Pre-Blank value</t>
  </si>
  <si>
    <t xml:space="preserve">  period : std_logic_vector(31 downto 0); -- Period value</t>
  </si>
  <si>
    <t xml:space="preserve">  last_period : std_logic_vector(31 downto 0); -- Last Period value</t>
  </si>
  <si>
    <t xml:space="preserve">  master_detection_time : std_logic_vector(31 downto 0); -- Master Detection Time value</t>
  </si>
  <si>
    <t xml:space="preserve">  one_shot_time : std_logic_vector(31 downto 0); -- OST value</t>
  </si>
  <si>
    <t>end record t_sync_config_register;</t>
  </si>
  <si>
    <t>-- Sync General Config Register</t>
  </si>
  <si>
    <t>type t_sync_general_config_register is record</t>
  </si>
  <si>
    <t xml:space="preserve">  signal_polarity : std_logic; -- Signal polarity</t>
  </si>
  <si>
    <t xml:space="preserve">  number_of_cycles : std_logic_vector(7 downto 0); -- Number of cycles</t>
  </si>
  <si>
    <t>end record t_sync_general_config_register;</t>
  </si>
  <si>
    <t>-- Sync Error Injection Register</t>
  </si>
  <si>
    <t>type t_sync_error_injection_register is record</t>
  </si>
  <si>
    <t xml:space="preserve">  error_injection : std_logic_vector(31 downto 0); -- Reserved</t>
  </si>
  <si>
    <t>end record t_sync_error_injection_register;</t>
  </si>
  <si>
    <t>-- Sync Control Register</t>
  </si>
  <si>
    <t>type t_sync_control_register is record</t>
  </si>
  <si>
    <t xml:space="preserve">  int_ext_n : std_logic; -- Internal/External(n) bit</t>
  </si>
  <si>
    <t xml:space="preserve">  start : std_logic; -- Start bit</t>
  </si>
  <si>
    <t xml:space="preserve">  reset : std_logic; -- Reset bit</t>
  </si>
  <si>
    <t xml:space="preserve">  one_shot : std_logic; -- One Shot bit</t>
  </si>
  <si>
    <t xml:space="preserve">  err_inj : std_logic; -- Err_inj bit</t>
  </si>
  <si>
    <t xml:space="preserve">  out_enable : std_logic; -- Sync_out  out enable bit</t>
  </si>
  <si>
    <t xml:space="preserve">  channel_1_enable : std_logic; -- Channel 1 out enable bit</t>
  </si>
  <si>
    <t xml:space="preserve">  channel_2_enable : std_logic; -- Channel 2 out enable bit</t>
  </si>
  <si>
    <t xml:space="preserve">  channel_3_enable : std_logic; -- Channel 3 out enable bit</t>
  </si>
  <si>
    <t xml:space="preserve">  channel_4_enable : std_logic; -- Channel 4 out enable bit</t>
  </si>
  <si>
    <t xml:space="preserve">  channel_5_enable : std_logic; -- Channel 5 out enable bit</t>
  </si>
  <si>
    <t xml:space="preserve">  channel_6_enable : std_logic; -- Channel 6 out enable bit</t>
  </si>
  <si>
    <t xml:space="preserve">  channel_7_enable : std_logic; -- Channel 7 out enable bit</t>
  </si>
  <si>
    <t xml:space="preserve">  channel_8_enable : std_logic; -- Channel 8 out enable bit</t>
  </si>
  <si>
    <t>end record t_sync_control_register;</t>
  </si>
  <si>
    <t>-- Sync IRQ Number Register</t>
  </si>
  <si>
    <t>type t_sync_irq_number_register is record</t>
  </si>
  <si>
    <t xml:space="preserve">  sync_irq_number : std_logic_vector(31 downto 0); -- Sync IRQ number</t>
  </si>
  <si>
    <t xml:space="preserve">  pre_sync_irq_number : std_logic_vector(31 downto 0); -- Pre-Sync IRQ number</t>
  </si>
  <si>
    <t>end record t_sync_irq_number_register;</t>
  </si>
  <si>
    <t>type t_sync_mm_write_registers is record</t>
  </si>
  <si>
    <t xml:space="preserve">  sync_irq_enable_reg : t_sync_interrupt_enable_register; -- Sync Interrupt Enable Register</t>
  </si>
  <si>
    <t xml:space="preserve">  sync_irq_flag_clear_reg : t_sync_interrupt_flag_clear_register; -- Sync Interrupt Flag Clear Register</t>
  </si>
  <si>
    <t xml:space="preserve">  pre_sync_irq_enable_reg : t_pre_sync_interrupt_enable_register; -- Pre-Sync Interrupt Enable Register</t>
  </si>
  <si>
    <t xml:space="preserve">  pre_sync_irq_flag_clear_reg : t_pre_sync_interrupt_flag_clear_register; -- Pre-Sync Interrupt Flag Clear Register</t>
  </si>
  <si>
    <t xml:space="preserve">  sync_config_reg : t_sync_config_register; -- Sync Master Blank Time Config Register</t>
  </si>
  <si>
    <t xml:space="preserve">  sync_general_config_reg : t_sync_general_config_register; -- Sync General Config Register</t>
  </si>
  <si>
    <t xml:space="preserve">  sync_error_injection_reg : t_sync_error_injection_register; -- Sync Error Injection Register</t>
  </si>
  <si>
    <t xml:space="preserve">  sync_control_reg : t_sync_control_register; -- Sync Control Register</t>
  </si>
  <si>
    <t>end record t_sync_mm_write_registers;</t>
  </si>
  <si>
    <t>type t_sync_mm_read_registers is record</t>
  </si>
  <si>
    <t xml:space="preserve">  sync_status_reg : t_sync_status_register; -- Sync Status Register</t>
  </si>
  <si>
    <t xml:space="preserve">  sync_irq_flag_reg : t_sync_interrupt_flag_register; -- Sync Interrupt Flag Register</t>
  </si>
  <si>
    <t xml:space="preserve">  pre_sync_irq_flag_reg : t_pre_sync_interrupt_flag_register; -- Pre-Sync Interrupt Flag Register</t>
  </si>
  <si>
    <t xml:space="preserve">  sync_irq_number_reg : t_sync_irq_number_register; -- Sync IRQ Number Register</t>
  </si>
  <si>
    <t>end record t_sync_mm_read_registers;</t>
  </si>
  <si>
    <t>case (mm_read_address_i) is</t>
  </si>
  <si>
    <t xml:space="preserve">      -- Sync Status Register : Internal/External_n</t>
  </si>
  <si>
    <t xml:space="preserve">      avalon_mm_o.readdata(0) &lt;= mm_read_reg_i.sync_status_reg.int_ext_n;</t>
  </si>
  <si>
    <t xml:space="preserve">      -- Sync Status Register : State</t>
  </si>
  <si>
    <t xml:space="preserve">      avalon_mm_o.readdata(7 downto 0) &lt;= mm_read_reg_i.sync_status_reg.state;</t>
  </si>
  <si>
    <t xml:space="preserve">      -- Sync Status Register : Error code</t>
  </si>
  <si>
    <t xml:space="preserve">      -- Sync Status Register : Cycle number</t>
  </si>
  <si>
    <t xml:space="preserve">      -- Sync Interrupt Enable Register : Error interrupt enable bit</t>
  </si>
  <si>
    <t xml:space="preserve">      avalon_mm_o.readdata(0) &lt;= mm_write_reg_i.sync_irq_enable_reg.error_irq_enable;</t>
  </si>
  <si>
    <t xml:space="preserve">      -- Sync Interrupt Enable Register : Blank pulse interrupt enable bit</t>
  </si>
  <si>
    <t xml:space="preserve">      avalon_mm_o.readdata(0) &lt;= mm_write_reg_i.sync_irq_enable_reg.blank_pulse_irq_enable;</t>
  </si>
  <si>
    <t xml:space="preserve">      -- Sync Interrupt Enable Register : Master pulse interrupt enable bit</t>
  </si>
  <si>
    <t xml:space="preserve">      avalon_mm_o.readdata(0) &lt;= mm_write_reg_i.sync_irq_enable_reg.master_pulse_irq_enable;</t>
  </si>
  <si>
    <t xml:space="preserve">      -- Sync Interrupt Enable Register : Normal pulse interrupt enable bit</t>
  </si>
  <si>
    <t xml:space="preserve">      avalon_mm_o.readdata(0) &lt;= mm_write_reg_i.sync_irq_enable_reg.normal_pulse_irq_enable;</t>
  </si>
  <si>
    <t xml:space="preserve">      -- Sync Interrupt Enable Register : Last pulse interrupt enable bit</t>
  </si>
  <si>
    <t xml:space="preserve">      avalon_mm_o.readdata(0) &lt;= mm_write_reg_i.sync_irq_enable_reg.last_pulse_irq_enable;</t>
  </si>
  <si>
    <t xml:space="preserve">      -- Sync Interrupt Flag Clear Register : Error interrupt flag clear bit</t>
  </si>
  <si>
    <t xml:space="preserve">      avalon_mm_o.readdata(0) &lt;= mm_write_reg_i.sync_irq_flag_clear_reg.error_irq_flag_clear;</t>
  </si>
  <si>
    <t xml:space="preserve">      -- Sync Interrupt Flag Clear Register : Blank pulse interrupt flag clear bit</t>
  </si>
  <si>
    <t xml:space="preserve">      avalon_mm_o.readdata(0) &lt;= mm_write_reg_i.sync_irq_flag_clear_reg.blank_pulse_irq_flag_clear;</t>
  </si>
  <si>
    <t xml:space="preserve">      -- Sync Interrupt Flag Clear Register : Master pulse interrupt flag clear bit</t>
  </si>
  <si>
    <t xml:space="preserve">      avalon_mm_o.readdata(0) &lt;= mm_write_reg_i.sync_irq_flag_clear_reg.master_pulse_irq_flag_clear;</t>
  </si>
  <si>
    <t xml:space="preserve">      -- Sync Interrupt Flag Clear Register : Normal pulse interrupt flag clear bit</t>
  </si>
  <si>
    <t xml:space="preserve">      avalon_mm_o.readdata(0) &lt;= mm_write_reg_i.sync_irq_flag_clear_reg.normal_pulse_irq_flag_clear;</t>
  </si>
  <si>
    <t xml:space="preserve">      -- Sync Interrupt Flag Clear Register : Last pulse interrupt flag clear bit</t>
  </si>
  <si>
    <t xml:space="preserve">      avalon_mm_o.readdata(0) &lt;= mm_write_reg_i.sync_irq_flag_clear_reg.last_pulse_irq_flag_clear;</t>
  </si>
  <si>
    <t xml:space="preserve">      -- Sync Interrupt Flag Register : Error interrupt flag bit</t>
  </si>
  <si>
    <t xml:space="preserve">      avalon_mm_o.readdata(0) &lt;= mm_read_reg_i.sync_irq_flag_reg.error_irq_flag;</t>
  </si>
  <si>
    <t xml:space="preserve">      -- Sync Interrupt Flag Register : Blank pulse interrupt flag bit</t>
  </si>
  <si>
    <t xml:space="preserve">      avalon_mm_o.readdata(0) &lt;= mm_read_reg_i.sync_irq_flag_reg.blank_pulse_irq_flag;</t>
  </si>
  <si>
    <t xml:space="preserve">      -- Sync Interrupt Flag Register : Master pulse interrupt flag bit</t>
  </si>
  <si>
    <t xml:space="preserve">      avalon_mm_o.readdata(0) &lt;= mm_read_reg_i.sync_irq_flag_reg.master_pulse_irq_flag;</t>
  </si>
  <si>
    <t xml:space="preserve">      -- Sync Interrupt Flag Register : Normal pulse interrupt flag bit</t>
  </si>
  <si>
    <t xml:space="preserve">      avalon_mm_o.readdata(0) &lt;= mm_read_reg_i.sync_irq_flag_reg.normal_pulse_irq_flag;</t>
  </si>
  <si>
    <t xml:space="preserve">      -- Sync Interrupt Flag Register : Last pulse interrupt flag bit</t>
  </si>
  <si>
    <t xml:space="preserve">      avalon_mm_o.readdata(0) &lt;= mm_read_reg_i.sync_irq_flag_reg.last_pulse_irq_flag;</t>
  </si>
  <si>
    <t xml:space="preserve">      -- Pre-Sync Interrupt Enable Register : Pre-Blank pulse interrupt enable bit</t>
  </si>
  <si>
    <t xml:space="preserve">      avalon_mm_o.readdata(0) &lt;= mm_write_reg_i.pre_sync_irq_enable_reg.pre_blank_pulse_irq_enable;</t>
  </si>
  <si>
    <t xml:space="preserve">      -- Pre-Sync Interrupt Enable Register : Pre-Master pulse interrupt enable bit</t>
  </si>
  <si>
    <t xml:space="preserve">      avalon_mm_o.readdata(0) &lt;= mm_write_reg_i.pre_sync_irq_enable_reg.pre_master_pulse_irq_enable;</t>
  </si>
  <si>
    <t xml:space="preserve">      -- Pre-Sync Interrupt Enable Register : Pre-Normal pulse interrupt enable bit</t>
  </si>
  <si>
    <t xml:space="preserve">      avalon_mm_o.readdata(0) &lt;= mm_write_reg_i.pre_sync_irq_enable_reg.pre_normal_pulse_irq_enable;</t>
  </si>
  <si>
    <t xml:space="preserve">      -- Pre-Sync Interrupt Enable Register : Pre-Last pulse interrupt enable bit</t>
  </si>
  <si>
    <t xml:space="preserve">      avalon_mm_o.readdata(0) &lt;= mm_write_reg_i.pre_sync_irq_enable_reg.pre_last_pulse_irq_enable;</t>
  </si>
  <si>
    <t xml:space="preserve">      -- Pre-Sync Interrupt Flag Clear Register : Pre-Blank pulse interrupt flag clear bit</t>
  </si>
  <si>
    <t xml:space="preserve">      avalon_mm_o.readdata(0) &lt;= mm_write_reg_i.pre_sync_irq_flag_clear_reg.pre_blank_pulse_irq_flag_clear;</t>
  </si>
  <si>
    <t xml:space="preserve">      -- Pre-Sync Interrupt Flag Clear Register : Pre-Master pulse interrupt flag clear bit</t>
  </si>
  <si>
    <t xml:space="preserve">      avalon_mm_o.readdata(0) &lt;= mm_write_reg_i.pre_sync_irq_flag_clear_reg.pre_master_pulse_irq_flag_clear;</t>
  </si>
  <si>
    <t xml:space="preserve">      -- Pre-Sync Interrupt Flag Clear Register : Pre-Normal pulse interrupt flag clear bit</t>
  </si>
  <si>
    <t xml:space="preserve">      avalon_mm_o.readdata(0) &lt;= mm_write_reg_i.pre_sync_irq_flag_clear_reg.pre_normal_pulse_irq_flag_clear;</t>
  </si>
  <si>
    <t xml:space="preserve">      -- Pre-Sync Interrupt Flag Clear Register : Pre-Last pulse interrupt flag clear bit</t>
  </si>
  <si>
    <t xml:space="preserve">      avalon_mm_o.readdata(0) &lt;= mm_write_reg_i.pre_sync_irq_flag_clear_reg.pre_last_pulse_irq_flag_clear;</t>
  </si>
  <si>
    <t xml:space="preserve">      -- Pre-Sync Interrupt Flag Register : Pre-Blank pulse interrupt flag bit</t>
  </si>
  <si>
    <t xml:space="preserve">      avalon_mm_o.readdata(0) &lt;= mm_read_reg_i.pre_sync_irq_flag_reg.pre_blank_pulse_irq_flag;</t>
  </si>
  <si>
    <t xml:space="preserve">      -- Pre-Sync Interrupt Flag Register : Pre-Master pulse interrupt flag bit</t>
  </si>
  <si>
    <t xml:space="preserve">      avalon_mm_o.readdata(0) &lt;= mm_read_reg_i.pre_sync_irq_flag_reg.pre_master_pulse_irq_flag;</t>
  </si>
  <si>
    <t xml:space="preserve">      -- Pre-Sync Interrupt Flag Register : Pre-Normal pulse interrupt flag bit</t>
  </si>
  <si>
    <t xml:space="preserve">      avalon_mm_o.readdata(0) &lt;= mm_read_reg_i.pre_sync_irq_flag_reg.pre_normal_pulse_irq_flag;</t>
  </si>
  <si>
    <t xml:space="preserve">      -- Pre-Sync Interrupt Flag Register : Pre-Last pulse interrupt flag bit</t>
  </si>
  <si>
    <t xml:space="preserve">      avalon_mm_o.readdata(0) &lt;= mm_read_reg_i.pre_sync_irq_flag_reg.pre_last_pulse_irq_flag;</t>
  </si>
  <si>
    <t xml:space="preserve">      -- Sync Master Blank Time Config Register : MBT value</t>
  </si>
  <si>
    <t xml:space="preserve">      avalon_mm_o.readdata(7 downto 0) &lt;= mm_write_reg_i.sync_config_reg.master_blank_time(7 downto 0);</t>
  </si>
  <si>
    <t xml:space="preserve">      avalon_mm_o.readdata(15 downto 8) &lt;= mm_write_reg_i.sync_config_reg.master_blank_time(15 downto 8);</t>
  </si>
  <si>
    <t xml:space="preserve">      avalon_mm_o.readdata(23 downto 16) &lt;= mm_write_reg_i.sync_config_reg.master_blank_time(23 downto 16);</t>
  </si>
  <si>
    <t xml:space="preserve">      avalon_mm_o.readdata(31 downto 24) &lt;= mm_write_reg_i.sync_config_reg.master_blank_time(31 downto 24);</t>
  </si>
  <si>
    <t xml:space="preserve">      -- Sync Blank Time Config Register : BT value</t>
  </si>
  <si>
    <t xml:space="preserve">      avalon_mm_o.readdata(7 downto 0) &lt;= mm_write_reg_i.sync_config_reg.blank_time(7 downto 0);</t>
  </si>
  <si>
    <t xml:space="preserve">      avalon_mm_o.readdata(15 downto 8) &lt;= mm_write_reg_i.sync_config_reg.blank_time(15 downto 8);</t>
  </si>
  <si>
    <t xml:space="preserve">      avalon_mm_o.readdata(23 downto 16) &lt;= mm_write_reg_i.sync_config_reg.blank_time(23 downto 16);</t>
  </si>
  <si>
    <t xml:space="preserve">      avalon_mm_o.readdata(31 downto 24) &lt;= mm_write_reg_i.sync_config_reg.blank_time(31 downto 24);</t>
  </si>
  <si>
    <t xml:space="preserve">      -- Sync Last Blank Time Config Register : LBT value</t>
  </si>
  <si>
    <t xml:space="preserve">      avalon_mm_o.readdata(7 downto 0) &lt;= mm_write_reg_i.sync_config_reg.last_blank_time(7 downto 0);</t>
  </si>
  <si>
    <t xml:space="preserve">      avalon_mm_o.readdata(15 downto 8) &lt;= mm_write_reg_i.sync_config_reg.last_blank_time(15 downto 8);</t>
  </si>
  <si>
    <t xml:space="preserve">      avalon_mm_o.readdata(23 downto 16) &lt;= mm_write_reg_i.sync_config_reg.last_blank_time(23 downto 16);</t>
  </si>
  <si>
    <t xml:space="preserve">      avalon_mm_o.readdata(31 downto 24) &lt;= mm_write_reg_i.sync_config_reg.last_blank_time(31 downto 24);</t>
  </si>
  <si>
    <t xml:space="preserve">      -- Sync Pre-Blank Time Config Register : Pre-Blank value</t>
  </si>
  <si>
    <t xml:space="preserve">      avalon_mm_o.readdata(7 downto 0) &lt;= mm_write_reg_i.sync_config_reg.pre_blank_time(7 downto 0);</t>
  </si>
  <si>
    <t xml:space="preserve">      avalon_mm_o.readdata(15 downto 8) &lt;= mm_write_reg_i.sync_config_reg.pre_blank_time(15 downto 8);</t>
  </si>
  <si>
    <t xml:space="preserve">      avalon_mm_o.readdata(23 downto 16) &lt;= mm_write_reg_i.sync_config_reg.pre_blank_time(23 downto 16);</t>
  </si>
  <si>
    <t xml:space="preserve">      avalon_mm_o.readdata(31 downto 24) &lt;= mm_write_reg_i.sync_config_reg.pre_blank_time(31 downto 24);</t>
  </si>
  <si>
    <t xml:space="preserve">      -- Sync Period Config Register : Period value</t>
  </si>
  <si>
    <t xml:space="preserve">      avalon_mm_o.readdata(7 downto 0) &lt;= mm_write_reg_i.sync_config_reg.period(7 downto 0);</t>
  </si>
  <si>
    <t xml:space="preserve">      avalon_mm_o.readdata(15 downto 8) &lt;= mm_write_reg_i.sync_config_reg.period(15 downto 8);</t>
  </si>
  <si>
    <t xml:space="preserve">      avalon_mm_o.readdata(23 downto 16) &lt;= mm_write_reg_i.sync_config_reg.period(23 downto 16);</t>
  </si>
  <si>
    <t xml:space="preserve">      avalon_mm_o.readdata(31 downto 24) &lt;= mm_write_reg_i.sync_config_reg.period(31 downto 24);</t>
  </si>
  <si>
    <t xml:space="preserve">      -- Sync Last Period Config Register : Last Period value</t>
  </si>
  <si>
    <t xml:space="preserve">      avalon_mm_o.readdata(7 downto 0) &lt;= mm_write_reg_i.sync_config_reg.last_period(7 downto 0);</t>
  </si>
  <si>
    <t xml:space="preserve">      avalon_mm_o.readdata(15 downto 8) &lt;= mm_write_reg_i.sync_config_reg.last_period(15 downto 8);</t>
  </si>
  <si>
    <t xml:space="preserve">      avalon_mm_o.readdata(23 downto 16) &lt;= mm_write_reg_i.sync_config_reg.last_period(23 downto 16);</t>
  </si>
  <si>
    <t xml:space="preserve">      avalon_mm_o.readdata(31 downto 24) &lt;= mm_write_reg_i.sync_config_reg.last_period(31 downto 24);</t>
  </si>
  <si>
    <t xml:space="preserve">      -- Sync Master Detection Time : Master Detection Time value</t>
  </si>
  <si>
    <t xml:space="preserve">      avalon_mm_o.readdata(7 downto 0) &lt;= mm_write_reg_i.sync_config_reg.master_detection_time(7 downto 0);</t>
  </si>
  <si>
    <t xml:space="preserve">      avalon_mm_o.readdata(15 downto 8) &lt;= mm_write_reg_i.sync_config_reg.master_detection_time(15 downto 8);</t>
  </si>
  <si>
    <t xml:space="preserve">      avalon_mm_o.readdata(23 downto 16) &lt;= mm_write_reg_i.sync_config_reg.master_detection_time(23 downto 16);</t>
  </si>
  <si>
    <t xml:space="preserve">      avalon_mm_o.readdata(31 downto 24) &lt;= mm_write_reg_i.sync_config_reg.master_detection_time(31 downto 24);</t>
  </si>
  <si>
    <t xml:space="preserve">      -- Sync Shot Time Config Register : OST value</t>
  </si>
  <si>
    <t xml:space="preserve">      avalon_mm_o.readdata(7 downto 0) &lt;= mm_write_reg_i.sync_config_reg.one_shot_time(7 downto 0);</t>
  </si>
  <si>
    <t xml:space="preserve">      avalon_mm_o.readdata(15 downto 8) &lt;= mm_write_reg_i.sync_config_reg.one_shot_time(15 downto 8);</t>
  </si>
  <si>
    <t xml:space="preserve">      avalon_mm_o.readdata(23 downto 16) &lt;= mm_write_reg_i.sync_config_reg.one_shot_time(23 downto 16);</t>
  </si>
  <si>
    <t xml:space="preserve">      avalon_mm_o.readdata(31 downto 24) &lt;= mm_write_reg_i.sync_config_reg.one_shot_time(31 downto 24);</t>
  </si>
  <si>
    <t xml:space="preserve">      -- Sync General Config Register : Signal polarity</t>
  </si>
  <si>
    <t xml:space="preserve">      avalon_mm_o.readdata(0) &lt;= mm_write_reg_i.sync_general_config_reg.signal_polarity;</t>
  </si>
  <si>
    <t xml:space="preserve">      -- Sync General Config Register : Number of cycles</t>
  </si>
  <si>
    <t xml:space="preserve">      avalon_mm_o.readdata(7 downto 0) &lt;= mm_write_reg_i.sync_general_config_reg.number_of_cycles;</t>
  </si>
  <si>
    <t xml:space="preserve">      -- Sync Error Injection Register : Reserved</t>
  </si>
  <si>
    <t xml:space="preserve">      avalon_mm_o.readdata(7 downto 0) &lt;= mm_write_reg_i.sync_error_injection_reg.error_injection(7 downto 0);</t>
  </si>
  <si>
    <t xml:space="preserve">      avalon_mm_o.readdata(15 downto 8) &lt;= mm_write_reg_i.sync_error_injection_reg.error_injection(15 downto 8);</t>
  </si>
  <si>
    <t xml:space="preserve">      avalon_mm_o.readdata(23 downto 16) &lt;= mm_write_reg_i.sync_error_injection_reg.error_injection(23 downto 16);</t>
  </si>
  <si>
    <t xml:space="preserve">      avalon_mm_o.readdata(31 downto 24) &lt;= mm_write_reg_i.sync_error_injection_reg.error_injection(31 downto 24);</t>
  </si>
  <si>
    <t xml:space="preserve">      -- Sync Control Register : Internal/External(n) bit</t>
  </si>
  <si>
    <t xml:space="preserve">      avalon_mm_o.readdata(0) &lt;= mm_write_reg_i.sync_control_reg.int_ext_n;</t>
  </si>
  <si>
    <t xml:space="preserve">      -- Sync Control Register : Start bit</t>
  </si>
  <si>
    <t xml:space="preserve">      avalon_mm_o.readdata(0) &lt;= mm_write_reg_i.sync_control_reg.start;</t>
  </si>
  <si>
    <t xml:space="preserve">      -- Sync Control Register : Reset bit</t>
  </si>
  <si>
    <t xml:space="preserve">      avalon_mm_o.readdata(0) &lt;= mm_write_reg_i.sync_control_reg.reset;</t>
  </si>
  <si>
    <t xml:space="preserve">      -- Sync Control Register : One Shot bit</t>
  </si>
  <si>
    <t xml:space="preserve">      avalon_mm_o.readdata(0) &lt;= mm_write_reg_i.sync_control_reg.one_shot;</t>
  </si>
  <si>
    <t xml:space="preserve">      -- Sync Control Register : Err_inj bit</t>
  </si>
  <si>
    <t xml:space="preserve">      avalon_mm_o.readdata(0) &lt;= mm_write_reg_i.sync_control_reg.err_inj;</t>
  </si>
  <si>
    <t xml:space="preserve">      -- Sync Control Register : Sync_out  out enable bit</t>
  </si>
  <si>
    <t xml:space="preserve">      avalon_mm_o.readdata(0) &lt;= mm_write_reg_i.sync_control_reg.out_enable;</t>
  </si>
  <si>
    <t xml:space="preserve">      -- Sync Control Register : Channel 1 out enable bit</t>
  </si>
  <si>
    <t xml:space="preserve">      avalon_mm_o.readdata(0) &lt;= mm_write_reg_i.sync_control_reg.channel_1_enable;</t>
  </si>
  <si>
    <t xml:space="preserve">      -- Sync Control Register : Channel 2 out enable bit</t>
  </si>
  <si>
    <t xml:space="preserve">      avalon_mm_o.readdata(0) &lt;= mm_write_reg_i.sync_control_reg.channel_2_enable;</t>
  </si>
  <si>
    <t xml:space="preserve">      -- Sync Control Register : Channel 3 out enable bit</t>
  </si>
  <si>
    <t xml:space="preserve">      avalon_mm_o.readdata(0) &lt;= mm_write_reg_i.sync_control_reg.channel_3_enable;</t>
  </si>
  <si>
    <t xml:space="preserve">      -- Sync Control Register : Channel 4 out enable bit</t>
  </si>
  <si>
    <t xml:space="preserve">      avalon_mm_o.readdata(0) &lt;= mm_write_reg_i.sync_control_reg.channel_4_enable;</t>
  </si>
  <si>
    <t xml:space="preserve">      -- Sync Control Register : Channel 5 out enable bit</t>
  </si>
  <si>
    <t xml:space="preserve">      avalon_mm_o.readdata(0) &lt;= mm_write_reg_i.sync_control_reg.channel_5_enable;</t>
  </si>
  <si>
    <t xml:space="preserve">      -- Sync Control Register : Channel 6 out enable bit</t>
  </si>
  <si>
    <t xml:space="preserve">      avalon_mm_o.readdata(0) &lt;= mm_write_reg_i.sync_control_reg.channel_6_enable;</t>
  </si>
  <si>
    <t xml:space="preserve">      -- Sync Control Register : Channel 7 out enable bit</t>
  </si>
  <si>
    <t xml:space="preserve">      avalon_mm_o.readdata(0) &lt;= mm_write_reg_i.sync_control_reg.channel_7_enable;</t>
  </si>
  <si>
    <t xml:space="preserve">      -- Sync Control Register : Channel 8 out enable bit</t>
  </si>
  <si>
    <t xml:space="preserve">      avalon_mm_o.readdata(0) &lt;= mm_write_reg_i.sync_control_reg.channel_8_enable;</t>
  </si>
  <si>
    <t xml:space="preserve">      -- Sync IRQ Number Register : Sync IRQ number</t>
  </si>
  <si>
    <t xml:space="preserve">      avalon_mm_o.readdata(7 downto 0) &lt;= mm_read_reg_i.sync_irq_number_reg.sync_irq_number(7 downto 0);</t>
  </si>
  <si>
    <t xml:space="preserve">      avalon_mm_o.readdata(15 downto 8) &lt;= mm_read_reg_i.sync_irq_number_reg.sync_irq_number(15 downto 8);</t>
  </si>
  <si>
    <t xml:space="preserve">      avalon_mm_o.readdata(23 downto 16) &lt;= mm_read_reg_i.sync_irq_number_reg.sync_irq_number(23 downto 16);</t>
  </si>
  <si>
    <t xml:space="preserve">      avalon_mm_o.readdata(31 downto 24) &lt;= mm_read_reg_i.sync_irq_number_reg.sync_irq_number(31 downto 24);</t>
  </si>
  <si>
    <t xml:space="preserve">      -- Sync IRQ Number Register : Pre-Sync IRQ number</t>
  </si>
  <si>
    <t xml:space="preserve">      avalon_mm_o.readdata(7 downto 0) &lt;= mm_read_reg_i.sync_irq_number_reg.pre_sync_irq_number(7 downto 0);</t>
  </si>
  <si>
    <t xml:space="preserve">      avalon_mm_o.readdata(15 downto 8) &lt;= mm_read_reg_i.sync_irq_number_reg.pre_sync_irq_number(15 downto 8);</t>
  </si>
  <si>
    <t xml:space="preserve">      avalon_mm_o.readdata(23 downto 16) &lt;= mm_read_reg_i.sync_irq_number_reg.pre_sync_irq_number(23 downto 16);</t>
  </si>
  <si>
    <t xml:space="preserve">      avalon_mm_o.readdata(31 downto 24) &lt;= mm_read_reg_i.sync_irq_number_reg.pre_sync_irq_number(31 downto 24);</t>
  </si>
  <si>
    <t xml:space="preserve">    avalon_mm_o.readdata &lt;= (others =&gt; '0');</t>
  </si>
  <si>
    <t>case (mm_write_address_i) is</t>
  </si>
  <si>
    <t xml:space="preserve">      mm_write_reg_o.sync_irq_enable_reg.error_irq_enable &lt;= avalon_mm_i.writedata(0);</t>
  </si>
  <si>
    <t xml:space="preserve">      mm_write_reg_o.sync_irq_enable_reg.blank_pulse_irq_enable &lt;= avalon_mm_i.writedata(0);</t>
  </si>
  <si>
    <t xml:space="preserve">      mm_write_reg_o.sync_irq_enable_reg.master_pulse_irq_enable &lt;= avalon_mm_i.writedata(0);</t>
  </si>
  <si>
    <t xml:space="preserve">      mm_write_reg_o.sync_irq_enable_reg.normal_pulse_irq_enable &lt;= avalon_mm_i.writedata(0);</t>
  </si>
  <si>
    <t xml:space="preserve">      mm_write_reg_o.sync_irq_enable_reg.last_pulse_irq_enable &lt;= avalon_mm_i.writedata(0);</t>
  </si>
  <si>
    <t xml:space="preserve">      mm_write_reg_o.sync_irq_flag_clear_reg.error_irq_flag_clear &lt;= avalon_mm_i.writedata(0);</t>
  </si>
  <si>
    <t xml:space="preserve">      mm_write_reg_o.sync_irq_flag_clear_reg.blank_pulse_irq_flag_clear &lt;= avalon_mm_i.writedata(0);</t>
  </si>
  <si>
    <t xml:space="preserve">      mm_write_reg_o.sync_irq_flag_clear_reg.master_pulse_irq_flag_clear &lt;= avalon_mm_i.writedata(0);</t>
  </si>
  <si>
    <t xml:space="preserve">      mm_write_reg_o.sync_irq_flag_clear_reg.normal_pulse_irq_flag_clear &lt;= avalon_mm_i.writedata(0);</t>
  </si>
  <si>
    <t xml:space="preserve">      mm_write_reg_o.sync_irq_flag_clear_reg.last_pulse_irq_flag_clear &lt;= avalon_mm_i.writedata(0);</t>
  </si>
  <si>
    <t xml:space="preserve">      mm_write_reg_o.pre_sync_irq_enable_reg.pre_blank_pulse_irq_enable &lt;= avalon_mm_i.writedata(0);</t>
  </si>
  <si>
    <t xml:space="preserve">      mm_write_reg_o.pre_sync_irq_enable_reg.pre_master_pulse_irq_enable &lt;= avalon_mm_i.writedata(0);</t>
  </si>
  <si>
    <t xml:space="preserve">      mm_write_reg_o.pre_sync_irq_enable_reg.pre_normal_pulse_irq_enable &lt;= avalon_mm_i.writedata(0);</t>
  </si>
  <si>
    <t xml:space="preserve">      mm_write_reg_o.pre_sync_irq_enable_reg.pre_last_pulse_irq_enable &lt;= avalon_mm_i.writedata(0);</t>
  </si>
  <si>
    <t xml:space="preserve">      mm_write_reg_o.pre_sync_irq_flag_clear_reg.pre_blank_pulse_irq_flag_clear &lt;= avalon_mm_i.writedata(0);</t>
  </si>
  <si>
    <t xml:space="preserve">      mm_write_reg_o.pre_sync_irq_flag_clear_reg.pre_master_pulse_irq_flag_clear &lt;= avalon_mm_i.writedata(0);</t>
  </si>
  <si>
    <t xml:space="preserve">      mm_write_reg_o.pre_sync_irq_flag_clear_reg.pre_normal_pulse_irq_flag_clear &lt;= avalon_mm_i.writedata(0);</t>
  </si>
  <si>
    <t xml:space="preserve">      mm_write_reg_o.pre_sync_irq_flag_clear_reg.pre_last_pulse_irq_flag_clear &lt;= avalon_mm_i.writedata(0);</t>
  </si>
  <si>
    <t xml:space="preserve">      mm_write_reg_o.sync_config_reg.master_blank_time(7 downto 0) &lt;= avalon_mm_i.writedata(7 downto 0);</t>
  </si>
  <si>
    <t xml:space="preserve">      mm_write_reg_o.sync_config_reg.master_blank_time(15 downto 8) &lt;= avalon_mm_i.writedata(15 downto 8);</t>
  </si>
  <si>
    <t xml:space="preserve">      mm_write_reg_o.sync_config_reg.master_blank_time(23 downto 16) &lt;= avalon_mm_i.writedata(23 downto 16);</t>
  </si>
  <si>
    <t xml:space="preserve">      mm_write_reg_o.sync_config_reg.master_blank_time(31 downto 24) &lt;= avalon_mm_i.writedata(31 downto 24);</t>
  </si>
  <si>
    <t xml:space="preserve">      mm_write_reg_o.sync_config_reg.blank_time(7 downto 0) &lt;= avalon_mm_i.writedata(7 downto 0);</t>
  </si>
  <si>
    <t xml:space="preserve">      mm_write_reg_o.sync_config_reg.blank_time(15 downto 8) &lt;= avalon_mm_i.writedata(15 downto 8);</t>
  </si>
  <si>
    <t xml:space="preserve">      mm_write_reg_o.sync_config_reg.blank_time(23 downto 16) &lt;= avalon_mm_i.writedata(23 downto 16);</t>
  </si>
  <si>
    <t xml:space="preserve">      mm_write_reg_o.sync_config_reg.blank_time(31 downto 24) &lt;= avalon_mm_i.writedata(31 downto 24);</t>
  </si>
  <si>
    <t xml:space="preserve">      mm_write_reg_o.sync_config_reg.last_blank_time(7 downto 0) &lt;= avalon_mm_i.writedata(7 downto 0);</t>
  </si>
  <si>
    <t xml:space="preserve">      mm_write_reg_o.sync_config_reg.last_blank_time(15 downto 8) &lt;= avalon_mm_i.writedata(15 downto 8);</t>
  </si>
  <si>
    <t xml:space="preserve">      mm_write_reg_o.sync_config_reg.last_blank_time(23 downto 16) &lt;= avalon_mm_i.writedata(23 downto 16);</t>
  </si>
  <si>
    <t xml:space="preserve">      mm_write_reg_o.sync_config_reg.last_blank_time(31 downto 24) &lt;= avalon_mm_i.writedata(31 downto 24);</t>
  </si>
  <si>
    <t xml:space="preserve">      mm_write_reg_o.sync_config_reg.pre_blank_time(7 downto 0) &lt;= avalon_mm_i.writedata(7 downto 0);</t>
  </si>
  <si>
    <t xml:space="preserve">      mm_write_reg_o.sync_config_reg.pre_blank_time(15 downto 8) &lt;= avalon_mm_i.writedata(15 downto 8);</t>
  </si>
  <si>
    <t xml:space="preserve">      mm_write_reg_o.sync_config_reg.pre_blank_time(23 downto 16) &lt;= avalon_mm_i.writedata(23 downto 16);</t>
  </si>
  <si>
    <t xml:space="preserve">      mm_write_reg_o.sync_config_reg.pre_blank_time(31 downto 24) &lt;= avalon_mm_i.writedata(31 downto 24);</t>
  </si>
  <si>
    <t xml:space="preserve">      mm_write_reg_o.sync_config_reg.period(7 downto 0) &lt;= avalon_mm_i.writedata(7 downto 0);</t>
  </si>
  <si>
    <t xml:space="preserve">      mm_write_reg_o.sync_config_reg.period(15 downto 8) &lt;= avalon_mm_i.writedata(15 downto 8);</t>
  </si>
  <si>
    <t xml:space="preserve">      mm_write_reg_o.sync_config_reg.period(23 downto 16) &lt;= avalon_mm_i.writedata(23 downto 16);</t>
  </si>
  <si>
    <t xml:space="preserve">      mm_write_reg_o.sync_config_reg.period(31 downto 24) &lt;= avalon_mm_i.writedata(31 downto 24);</t>
  </si>
  <si>
    <t xml:space="preserve">      mm_write_reg_o.sync_config_reg.last_period(7 downto 0) &lt;= avalon_mm_i.writedata(7 downto 0);</t>
  </si>
  <si>
    <t xml:space="preserve">      mm_write_reg_o.sync_config_reg.last_period(15 downto 8) &lt;= avalon_mm_i.writedata(15 downto 8);</t>
  </si>
  <si>
    <t xml:space="preserve">      mm_write_reg_o.sync_config_reg.last_period(23 downto 16) &lt;= avalon_mm_i.writedata(23 downto 16);</t>
  </si>
  <si>
    <t xml:space="preserve">      mm_write_reg_o.sync_config_reg.last_period(31 downto 24) &lt;= avalon_mm_i.writedata(31 downto 24);</t>
  </si>
  <si>
    <t xml:space="preserve">      mm_write_reg_o.sync_config_reg.master_detection_time(7 downto 0) &lt;= avalon_mm_i.writedata(7 downto 0);</t>
  </si>
  <si>
    <t xml:space="preserve">      mm_write_reg_o.sync_config_reg.master_detection_time(15 downto 8) &lt;= avalon_mm_i.writedata(15 downto 8);</t>
  </si>
  <si>
    <t xml:space="preserve">      mm_write_reg_o.sync_config_reg.master_detection_time(23 downto 16) &lt;= avalon_mm_i.writedata(23 downto 16);</t>
  </si>
  <si>
    <t xml:space="preserve">      mm_write_reg_o.sync_config_reg.master_detection_time(31 downto 24) &lt;= avalon_mm_i.writedata(31 downto 24);</t>
  </si>
  <si>
    <t xml:space="preserve">      mm_write_reg_o.sync_config_reg.one_shot_time(7 downto 0) &lt;= avalon_mm_i.writedata(7 downto 0);</t>
  </si>
  <si>
    <t xml:space="preserve">      mm_write_reg_o.sync_config_reg.one_shot_time(15 downto 8) &lt;= avalon_mm_i.writedata(15 downto 8);</t>
  </si>
  <si>
    <t xml:space="preserve">      mm_write_reg_o.sync_config_reg.one_shot_time(23 downto 16) &lt;= avalon_mm_i.writedata(23 downto 16);</t>
  </si>
  <si>
    <t xml:space="preserve">      mm_write_reg_o.sync_config_reg.one_shot_time(31 downto 24) &lt;= avalon_mm_i.writedata(31 downto 24);</t>
  </si>
  <si>
    <t xml:space="preserve">      mm_write_reg_o.sync_general_config_reg.signal_polarity &lt;= avalon_mm_i.writedata(0);</t>
  </si>
  <si>
    <t xml:space="preserve">      mm_write_reg_o.sync_general_config_reg.number_of_cycles &lt;= avalon_mm_i.writedata(7 downto 0);</t>
  </si>
  <si>
    <t xml:space="preserve">      mm_write_reg_o.sync_error_injection_reg.error_injection(7 downto 0) &lt;= avalon_mm_i.writedata(7 downto 0);</t>
  </si>
  <si>
    <t xml:space="preserve">      mm_write_reg_o.sync_error_injection_reg.error_injection(15 downto 8) &lt;= avalon_mm_i.writedata(15 downto 8);</t>
  </si>
  <si>
    <t xml:space="preserve">      mm_write_reg_o.sync_error_injection_reg.error_injection(23 downto 16) &lt;= avalon_mm_i.writedata(23 downto 16);</t>
  </si>
  <si>
    <t xml:space="preserve">      mm_write_reg_o.sync_error_injection_reg.error_injection(31 downto 24) &lt;= avalon_mm_i.writedata(31 downto 24);</t>
  </si>
  <si>
    <t xml:space="preserve">      mm_write_reg_o.sync_control_reg.int_ext_n &lt;= avalon_mm_i.writedata(0);</t>
  </si>
  <si>
    <t xml:space="preserve">      mm_write_reg_o.sync_control_reg.start &lt;= avalon_mm_i.writedata(0);</t>
  </si>
  <si>
    <t xml:space="preserve">      mm_write_reg_o.sync_control_reg.reset &lt;= avalon_mm_i.writedata(0);</t>
  </si>
  <si>
    <t xml:space="preserve">      mm_write_reg_o.sync_control_reg.one_shot &lt;= avalon_mm_i.writedata(0);</t>
  </si>
  <si>
    <t xml:space="preserve">      mm_write_reg_o.sync_control_reg.err_inj &lt;= avalon_mm_i.writedata(0);</t>
  </si>
  <si>
    <t xml:space="preserve">      mm_write_reg_o.sync_control_reg.out_enable &lt;= avalon_mm_i.writedata(0);</t>
  </si>
  <si>
    <t xml:space="preserve">      mm_write_reg_o.sync_control_reg.channel_1_enable &lt;= avalon_mm_i.writedata(0);</t>
  </si>
  <si>
    <t xml:space="preserve">      mm_write_reg_o.sync_control_reg.channel_2_enable &lt;= avalon_mm_i.writedata(0);</t>
  </si>
  <si>
    <t xml:space="preserve">      mm_write_reg_o.sync_control_reg.channel_3_enable &lt;= avalon_mm_i.writedata(0);</t>
  </si>
  <si>
    <t xml:space="preserve">      mm_write_reg_o.sync_control_reg.channel_4_enable &lt;= avalon_mm_i.writedata(0);</t>
  </si>
  <si>
    <t xml:space="preserve">      mm_write_reg_o.sync_control_reg.channel_5_enable &lt;= avalon_mm_i.writedata(0);</t>
  </si>
  <si>
    <t xml:space="preserve">      mm_write_reg_o.sync_control_reg.channel_6_enable &lt;= avalon_mm_i.writedata(0);</t>
  </si>
  <si>
    <t xml:space="preserve">      mm_write_reg_o.sync_control_reg.channel_7_enable &lt;= avalon_mm_i.writedata(0);</t>
  </si>
  <si>
    <t xml:space="preserve">      mm_write_reg_o.sync_control_reg.channel_8_enable &lt;= avalon_mm_i.writedata(0);</t>
  </si>
  <si>
    <t>-- Sync Interrupt Enable Register : Error interrupt enable bit</t>
  </si>
  <si>
    <t>mm_write_reg_o.sync_irq_enable_reg.error_irq_enable &lt;= '0';</t>
  </si>
  <si>
    <t>-- Sync Interrupt Enable Register : Blank pulse interrupt enable bit</t>
  </si>
  <si>
    <t>mm_write_reg_o.sync_irq_enable_reg.blank_pulse_irq_enable &lt;= '0';</t>
  </si>
  <si>
    <t>-- Sync Interrupt Enable Register : Master pulse interrupt enable bit</t>
  </si>
  <si>
    <t>mm_write_reg_o.sync_irq_enable_reg.master_pulse_irq_enable &lt;= '0';</t>
  </si>
  <si>
    <t>-- Sync Interrupt Enable Register : Normal pulse interrupt enable bit</t>
  </si>
  <si>
    <t>mm_write_reg_o.sync_irq_enable_reg.normal_pulse_irq_enable &lt;= '0';</t>
  </si>
  <si>
    <t>-- Sync Interrupt Enable Register : Last pulse interrupt enable bit</t>
  </si>
  <si>
    <t>mm_write_reg_o.sync_irq_enable_reg.last_pulse_irq_enable &lt;= '0';</t>
  </si>
  <si>
    <t>-- Sync Interrupt Flag Clear Register : Error interrupt flag clear bit</t>
  </si>
  <si>
    <t>mm_write_reg_o.sync_irq_flag_clear_reg.error_irq_flag_clear &lt;= '0';</t>
  </si>
  <si>
    <t>-- Sync Interrupt Flag Clear Register : Blank pulse interrupt flag clear bit</t>
  </si>
  <si>
    <t>mm_write_reg_o.sync_irq_flag_clear_reg.blank_pulse_irq_flag_clear &lt;= '0';</t>
  </si>
  <si>
    <t>-- Sync Interrupt Flag Clear Register : Master pulse interrupt flag clear bit</t>
  </si>
  <si>
    <t>mm_write_reg_o.sync_irq_flag_clear_reg.master_pulse_irq_flag_clear &lt;= '0';</t>
  </si>
  <si>
    <t>-- Sync Interrupt Flag Clear Register : Normal pulse interrupt flag clear bit</t>
  </si>
  <si>
    <t>mm_write_reg_o.sync_irq_flag_clear_reg.normal_pulse_irq_flag_clear &lt;= '0';</t>
  </si>
  <si>
    <t>-- Sync Interrupt Flag Clear Register : Last pulse interrupt flag clear bit</t>
  </si>
  <si>
    <t>mm_write_reg_o.sync_irq_flag_clear_reg.last_pulse_irq_flag_clear &lt;= '0';</t>
  </si>
  <si>
    <t>-- Pre-Sync Interrupt Enable Register : Pre-Blank pulse interrupt enable bit</t>
  </si>
  <si>
    <t>mm_write_reg_o.pre_sync_irq_enable_reg.pre_blank_pulse_irq_enable &lt;= '0';</t>
  </si>
  <si>
    <t>-- Pre-Sync Interrupt Enable Register : Pre-Master pulse interrupt enable bit</t>
  </si>
  <si>
    <t>mm_write_reg_o.pre_sync_irq_enable_reg.pre_master_pulse_irq_enable &lt;= '0';</t>
  </si>
  <si>
    <t>-- Pre-Sync Interrupt Enable Register : Pre-Normal pulse interrupt enable bit</t>
  </si>
  <si>
    <t>mm_write_reg_o.pre_sync_irq_enable_reg.pre_normal_pulse_irq_enable &lt;= '0';</t>
  </si>
  <si>
    <t>-- Pre-Sync Interrupt Enable Register : Pre-Last pulse interrupt enable bit</t>
  </si>
  <si>
    <t>mm_write_reg_o.pre_sync_irq_enable_reg.pre_last_pulse_irq_enable &lt;= '0';</t>
  </si>
  <si>
    <t>-- Pre-Sync Interrupt Flag Clear Register : Pre-Blank pulse interrupt flag clear bit</t>
  </si>
  <si>
    <t>mm_write_reg_o.pre_sync_irq_flag_clear_reg.pre_blank_pulse_irq_flag_clear &lt;= '0';</t>
  </si>
  <si>
    <t>-- Pre-Sync Interrupt Flag Clear Register : Pre-Master pulse interrupt flag clear bit</t>
  </si>
  <si>
    <t>mm_write_reg_o.pre_sync_irq_flag_clear_reg.pre_master_pulse_irq_flag_clear &lt;= '0';</t>
  </si>
  <si>
    <t>-- Pre-Sync Interrupt Flag Clear Register : Pre-Normal pulse interrupt flag clear bit</t>
  </si>
  <si>
    <t>mm_write_reg_o.pre_sync_irq_flag_clear_reg.pre_normal_pulse_irq_flag_clear &lt;= '0';</t>
  </si>
  <si>
    <t>-- Pre-Sync Interrupt Flag Clear Register : Pre-Last pulse interrupt flag clear bit</t>
  </si>
  <si>
    <t>mm_write_reg_o.pre_sync_irq_flag_clear_reg.pre_last_pulse_irq_flag_clear &lt;= '0';</t>
  </si>
  <si>
    <t>-- Sync Master Blank Time Config Register : MBT value</t>
  </si>
  <si>
    <t>mm_write_reg_o.sync_config_reg.master_blank_time &lt;= (others =&gt; '0');</t>
  </si>
  <si>
    <t>-- Sync Blank Time Config Register : BT value</t>
  </si>
  <si>
    <t>mm_write_reg_o.sync_config_reg.blank_time &lt;= (others =&gt; '0');</t>
  </si>
  <si>
    <t>-- Sync Last Blank Time Config Register : LBT value</t>
  </si>
  <si>
    <t>mm_write_reg_o.sync_config_reg.last_blank_time &lt;= (others =&gt; '0');</t>
  </si>
  <si>
    <t>-- Sync Pre-Blank Time Config Register : Pre-Blank value</t>
  </si>
  <si>
    <t>mm_write_reg_o.sync_config_reg.pre_blank_time &lt;= (others =&gt; '0');</t>
  </si>
  <si>
    <t>-- Sync Period Config Register : Period value</t>
  </si>
  <si>
    <t>mm_write_reg_o.sync_config_reg.period &lt;= (others =&gt; '0');</t>
  </si>
  <si>
    <t>-- Sync Last Period Config Register : Last Period value</t>
  </si>
  <si>
    <t>mm_write_reg_o.sync_config_reg.last_period &lt;= (others =&gt; '0');</t>
  </si>
  <si>
    <t>-- Sync Master Detection Time : Master Detection Time value</t>
  </si>
  <si>
    <t>-- Sync Shot Time Config Register : OST value</t>
  </si>
  <si>
    <t>mm_write_reg_o.sync_config_reg.one_shot_time &lt;= (others =&gt; '0');</t>
  </si>
  <si>
    <t>-- Sync General Config Register : Signal polarity</t>
  </si>
  <si>
    <t>mm_write_reg_o.sync_general_config_reg.signal_polarity &lt;= not g_SYNC_DEFAULT_STBY_POLARITY;</t>
  </si>
  <si>
    <t>-- Sync General Config Register : Number of cycles</t>
  </si>
  <si>
    <t>mm_write_reg_o.sync_general_config_reg.number_of_cycles &lt;= (others =&gt; '0');</t>
  </si>
  <si>
    <t>-- Sync Error Injection Register : Reserved</t>
  </si>
  <si>
    <t>mm_write_reg_o.sync_error_injection_reg.error_injection &lt;= (others =&gt; '0');</t>
  </si>
  <si>
    <t>-- Sync Control Register : Internal/External(n) bit</t>
  </si>
  <si>
    <t>mm_write_reg_o.sync_control_reg.int_ext_n &lt;= '0';</t>
  </si>
  <si>
    <t>-- Sync Control Register : Start bit</t>
  </si>
  <si>
    <t>mm_write_reg_o.sync_control_reg.start &lt;= '0';</t>
  </si>
  <si>
    <t>-- Sync Control Register : Reset bit</t>
  </si>
  <si>
    <t>mm_write_reg_o.sync_control_reg.reset &lt;= '0';</t>
  </si>
  <si>
    <t>-- Sync Control Register : One Shot bit</t>
  </si>
  <si>
    <t>mm_write_reg_o.sync_control_reg.one_shot &lt;= '0';</t>
  </si>
  <si>
    <t>-- Sync Control Register : Err_inj bit</t>
  </si>
  <si>
    <t>mm_write_reg_o.sync_control_reg.err_inj &lt;= '0';</t>
  </si>
  <si>
    <t>-- Sync Control Register : Sync_out  out enable bit</t>
  </si>
  <si>
    <t>mm_write_reg_o.sync_control_reg.out_enable &lt;= '0';</t>
  </si>
  <si>
    <t>-- Sync Control Register : Channel 1 out enable bit</t>
  </si>
  <si>
    <t>mm_write_reg_o.sync_control_reg.channel_1_enable &lt;= '0';</t>
  </si>
  <si>
    <t>-- Sync Control Register : Channel 2 out enable bit</t>
  </si>
  <si>
    <t>mm_write_reg_o.sync_control_reg.channel_2_enable &lt;= '0';</t>
  </si>
  <si>
    <t>-- Sync Control Register : Channel 3 out enable bit</t>
  </si>
  <si>
    <t>mm_write_reg_o.sync_control_reg.channel_3_enable &lt;= '0';</t>
  </si>
  <si>
    <t>-- Sync Control Register : Channel 4 out enable bit</t>
  </si>
  <si>
    <t>mm_write_reg_o.sync_control_reg.channel_4_enable &lt;= '0';</t>
  </si>
  <si>
    <t>-- Sync Control Register : Channel 5 out enable bit</t>
  </si>
  <si>
    <t>mm_write_reg_o.sync_control_reg.channel_5_enable &lt;= '0';</t>
  </si>
  <si>
    <t>-- Sync Control Register : Channel 6 out enable bit</t>
  </si>
  <si>
    <t>mm_write_reg_o.sync_control_reg.channel_6_enable &lt;= '0';</t>
  </si>
  <si>
    <t>-- Sync Control Register : Channel 7 out enable bit</t>
  </si>
  <si>
    <t>mm_write_reg_o.sync_control_reg.channel_7_enable &lt;= '0';</t>
  </si>
  <si>
    <t>-- Sync Control Register : Channel 8 out enable bit</t>
  </si>
  <si>
    <t>mm_write_reg_o.sync_control_reg.channel_8_enable &lt;= '0';</t>
  </si>
  <si>
    <t xml:space="preserve"> /* Sync Status Register Struct */</t>
  </si>
  <si>
    <t>typedef struct SyncStatus {</t>
  </si>
  <si>
    <t xml:space="preserve">  bool bIntExtN; /* Internal/External_n */</t>
  </si>
  <si>
    <t>} TSyncStatus;</t>
  </si>
  <si>
    <t xml:space="preserve"> /* Sync Interrupt Enable Register Struct */</t>
  </si>
  <si>
    <t>typedef struct SyncIrqEn {</t>
  </si>
  <si>
    <t xml:space="preserve">  bool bErrorIrqEn; /* Error interrupt enable bit */</t>
  </si>
  <si>
    <t xml:space="preserve">  bool bBlankPulseIrqEn; /* Blank pulse interrupt enable bit */</t>
  </si>
  <si>
    <t xml:space="preserve">  bool bMasterPulseIrqEn; /* Master pulse interrupt enable bit */</t>
  </si>
  <si>
    <t xml:space="preserve">  bool bNormalPulseIrqEn; /* Normal pulse interrupt enable bit */</t>
  </si>
  <si>
    <t xml:space="preserve">  bool bLastPulseIrqEn; /* Last pulse interrupt enable bit */</t>
  </si>
  <si>
    <t>} TSyncIrqEn;</t>
  </si>
  <si>
    <t xml:space="preserve"> /* Sync Interrupt Flag Clear Register Struct */</t>
  </si>
  <si>
    <t>typedef struct SyncIrqFlagClr {</t>
  </si>
  <si>
    <t xml:space="preserve">  bool bErrorIrqFlagClr; /* Error interrupt flag clear bit */</t>
  </si>
  <si>
    <t xml:space="preserve">  bool bBlankPulseIrqFlagClr; /* Blank pulse interrupt flag clear bit */</t>
  </si>
  <si>
    <t xml:space="preserve">  bool bMasterPulseIrqFlagClr; /* Master pulse interrupt flag clear bit */</t>
  </si>
  <si>
    <t xml:space="preserve">  bool bNormalPulseIrqFlagClr; /* Normal pulse interrupt flag clear bit */</t>
  </si>
  <si>
    <t xml:space="preserve">  bool bLastPulseIrqFlagClr; /* Last pulse interrupt flag clear bit */</t>
  </si>
  <si>
    <t>} TSyncIrqFlagClr;</t>
  </si>
  <si>
    <t xml:space="preserve"> /* Sync Interrupt Flag Register Struct */</t>
  </si>
  <si>
    <t>typedef struct SyncIrqFlag {</t>
  </si>
  <si>
    <t xml:space="preserve">  bool bErrorIrqFlag; /* Error interrupt flag bit */</t>
  </si>
  <si>
    <t xml:space="preserve">  bool bBlankPulseIrqFlag; /* Blank pulse interrupt flag bit */</t>
  </si>
  <si>
    <t xml:space="preserve">  bool bMasterPulseIrqFlag; /* Master pulse interrupt flag bit */</t>
  </si>
  <si>
    <t xml:space="preserve">  bool bNormalPulseIrqFlag; /* Normal pulse interrupt flag bit */</t>
  </si>
  <si>
    <t xml:space="preserve">  bool bLastPulseIrqFlag; /* Last pulse interrupt flag bit */</t>
  </si>
  <si>
    <t>} TSyncIrqFlag;</t>
  </si>
  <si>
    <t xml:space="preserve"> /* Pre-Sync Interrupt Enable Register Struct */</t>
  </si>
  <si>
    <t>typedef struct PreSyncIrqEn {</t>
  </si>
  <si>
    <t xml:space="preserve">  bool bPreBlankPulseIrqEn; /* Pre-Blank pulse interrupt enable bit */</t>
  </si>
  <si>
    <t xml:space="preserve">  bool bPreMasterPulseIrqEn; /* Pre-Master pulse interrupt enable bit */</t>
  </si>
  <si>
    <t xml:space="preserve">  bool bPreNormalPulseIrqEn; /* Pre-Normal pulse interrupt enable bit */</t>
  </si>
  <si>
    <t xml:space="preserve">  bool bPreLastPulseIrqEn; /* Pre-Last pulse interrupt enable bit */</t>
  </si>
  <si>
    <t>} TPreSyncIrqEn;</t>
  </si>
  <si>
    <t xml:space="preserve"> /* Pre-Sync Interrupt Flag Clear Register Struct */</t>
  </si>
  <si>
    <t>typedef struct PreSyncIrqFlagClr {</t>
  </si>
  <si>
    <t xml:space="preserve">  bool bPreBlankPulseIrqFlagClr; /* Pre-Blank pulse interrupt flag clear bit */</t>
  </si>
  <si>
    <t xml:space="preserve">  bool bPreMasterPulseIrqFlagClr; /* Pre-Master pulse interrupt flag clear bit */</t>
  </si>
  <si>
    <t xml:space="preserve">  bool bPreNormalPulseIrqFlagClr; /* Pre-Normal pulse interrupt flag clear bit */</t>
  </si>
  <si>
    <t xml:space="preserve">  bool bPreLastPulseIrqFlagClr; /* Pre-Last pulse interrupt flag clear bit */</t>
  </si>
  <si>
    <t>} TPreSyncIrqFlagClr;</t>
  </si>
  <si>
    <t xml:space="preserve"> /* Pre-Sync Interrupt Flag Register Struct */</t>
  </si>
  <si>
    <t>typedef struct PreSyncIrqFlag {</t>
  </si>
  <si>
    <t xml:space="preserve">  bool bPreBlankPulseIrqFlag; /* Pre-Blank pulse interrupt flag bit */</t>
  </si>
  <si>
    <t xml:space="preserve">  bool bPreMasterPulseIrqFlag; /* Pre-Master pulse interrupt flag bit */</t>
  </si>
  <si>
    <t xml:space="preserve">  bool bPreNormalPulseIrqFlag; /* Pre-Normal pulse interrupt flag bit */</t>
  </si>
  <si>
    <t xml:space="preserve">  bool bPreLastPulseIrqFlag; /* Pre-Last pulse interrupt flag bit */</t>
  </si>
  <si>
    <t>} TPreSyncIrqFlag;</t>
  </si>
  <si>
    <t xml:space="preserve"> /* Sync Master Blank Time Config Register Struct */</t>
  </si>
  <si>
    <t>typedef struct SyncConfig {</t>
  </si>
  <si>
    <t xml:space="preserve">  alt_u32 uliMasterBlankTime; /* MBT value */</t>
  </si>
  <si>
    <t xml:space="preserve">  alt_u32 uliBlankTime; /* BT value */</t>
  </si>
  <si>
    <t xml:space="preserve">  alt_u32 uliLastBlankTime; /* LBT value */</t>
  </si>
  <si>
    <t xml:space="preserve">  alt_u32 uliPreBlankTime; /* Pre-Blank value */</t>
  </si>
  <si>
    <t xml:space="preserve">  alt_u32 uliPeriod; /* Period value */</t>
  </si>
  <si>
    <t xml:space="preserve">  alt_u32 uliLastPeriod; /* Last Period value */</t>
  </si>
  <si>
    <t xml:space="preserve">  alt_u32 uliMasterDetectionTime; /* Master Detection Time value */</t>
  </si>
  <si>
    <t xml:space="preserve">  alt_u32 uliOneShotTime; /* OST value */</t>
  </si>
  <si>
    <t>} TSyncConfig;</t>
  </si>
  <si>
    <t xml:space="preserve"> /* Sync General Config Register Struct */</t>
  </si>
  <si>
    <t>typedef struct SyncGeneralConfig {</t>
  </si>
  <si>
    <t xml:space="preserve">  bool bSignalPolarity; /* Signal polarity */</t>
  </si>
  <si>
    <t>} TSyncGeneralConfig;</t>
  </si>
  <si>
    <t xml:space="preserve"> /* Sync Error Injection Register Struct */</t>
  </si>
  <si>
    <t>typedef struct SyncErrorInjection {</t>
  </si>
  <si>
    <t xml:space="preserve">  alt_u32 uliErrorInjection; /* Reserved */</t>
  </si>
  <si>
    <t>} TSyncErrorInjection;</t>
  </si>
  <si>
    <t xml:space="preserve"> /* Sync Control Register Struct */</t>
  </si>
  <si>
    <t>typedef struct SyncControl {</t>
  </si>
  <si>
    <t xml:space="preserve">  bool bIntExtN; /* Internal/External(n) bit */</t>
  </si>
  <si>
    <t xml:space="preserve">  bool bStart; /* Start bit */</t>
  </si>
  <si>
    <t xml:space="preserve">  bool bReset; /* Reset bit */</t>
  </si>
  <si>
    <t xml:space="preserve">  bool bOneShot; /* One Shot bit */</t>
  </si>
  <si>
    <t xml:space="preserve">  bool bErrInj; /* Err_inj bit */</t>
  </si>
  <si>
    <t xml:space="preserve">  bool bOutEn; /* Sync_out  out enable bit */</t>
  </si>
  <si>
    <t xml:space="preserve">  bool bChannel1En; /* Channel 1 out enable bit */</t>
  </si>
  <si>
    <t xml:space="preserve">  bool bChannel2En; /* Channel 2 out enable bit */</t>
  </si>
  <si>
    <t xml:space="preserve">  bool bChannel3En; /* Channel 3 out enable bit */</t>
  </si>
  <si>
    <t xml:space="preserve">  bool bChannel4En; /* Channel 4 out enable bit */</t>
  </si>
  <si>
    <t xml:space="preserve">  bool bChannel5En; /* Channel 5 out enable bit */</t>
  </si>
  <si>
    <t xml:space="preserve">  bool bChannel6En; /* Channel 6 out enable bit */</t>
  </si>
  <si>
    <t xml:space="preserve">  bool bChannel7En; /* Channel 7 out enable bit */</t>
  </si>
  <si>
    <t xml:space="preserve">  bool bChannel8En; /* Channel 8 out enable bit */</t>
  </si>
  <si>
    <t>} TSyncControl;</t>
  </si>
  <si>
    <t xml:space="preserve"> /* Sync IRQ Number Register Struct */</t>
  </si>
  <si>
    <t>typedef struct SyncIRQNumber {</t>
  </si>
  <si>
    <t xml:space="preserve">  alt_u32 uliSyncIrqNumber; /* Sync IRQ number */</t>
  </si>
  <si>
    <t xml:space="preserve">  alt_u32 uliPreSyncIrqNumber; /* Pre-Sync IRQ number */</t>
  </si>
  <si>
    <t>} TSyncIRQNumber;</t>
  </si>
  <si>
    <t>typedef struct SyncModule {</t>
  </si>
  <si>
    <t xml:space="preserve">  TSyncStatus xSyncStatus;</t>
  </si>
  <si>
    <t xml:space="preserve">  TSyncIrqEn xSyncIrqEn;</t>
  </si>
  <si>
    <t xml:space="preserve">  TSyncIrqFlagClr xSyncIrqFlagClr;</t>
  </si>
  <si>
    <t xml:space="preserve">  TSyncIrqFlag xSyncIrqFlag;</t>
  </si>
  <si>
    <t xml:space="preserve">  TPreSyncIrqEn xPreSyncIrqEn;</t>
  </si>
  <si>
    <t xml:space="preserve">  TPreSyncIrqFlagClr xPreSyncIrqFlagClr;</t>
  </si>
  <si>
    <t xml:space="preserve">  TPreSyncIrqFlag xPreSyncIrqFlag;</t>
  </si>
  <si>
    <t xml:space="preserve">  TSyncConfig xSyncConfig;</t>
  </si>
  <si>
    <t xml:space="preserve">  TSyncGeneralConfig xSyncGeneralConfig;</t>
  </si>
  <si>
    <t xml:space="preserve">  TSyncErrorInjection xSyncErrorInjection;</t>
  </si>
  <si>
    <t xml:space="preserve">  TSyncControl xSyncControl;</t>
  </si>
  <si>
    <t xml:space="preserve">  TSyncIRQNumber xSyncIRQNumber;</t>
  </si>
  <si>
    <t>} TSyncModule;</t>
  </si>
  <si>
    <t>std_logic_vector(to_unsigned(15000000, 32))</t>
  </si>
  <si>
    <t xml:space="preserve">      avalon_mm_o.readdata(7 downto 0) &lt;= mm_read_reg_i.sync_status_reg.error_code;</t>
  </si>
  <si>
    <t xml:space="preserve">      avalon_mm_o.readdata(7 downto 0) &lt;= mm_read_reg_i.sync_status_reg.cycle_number;</t>
  </si>
  <si>
    <t xml:space="preserve">  when (16#38#) =&gt;</t>
  </si>
  <si>
    <t xml:space="preserve">  when (16#39#) =&gt;</t>
  </si>
  <si>
    <t>mm_write_reg_o.sync_config_reg.master_detection_time &lt;= std_logic_vector(to_unsigned(15000000, 32));</t>
  </si>
  <si>
    <t xml:space="preserve">  alt_u32 ucState; /* State */</t>
  </si>
  <si>
    <t xml:space="preserve">  alt_u32 ucErrorCode; /* Error code */</t>
  </si>
  <si>
    <t xml:space="preserve">  alt_u32 ucCycleNumber; /* Cycle number */</t>
  </si>
  <si>
    <t xml:space="preserve">  alt_u32 ucNumberOfCycles; /* Number of cycles */</t>
  </si>
  <si>
    <t>Hold Blank Pulse</t>
  </si>
  <si>
    <t>hold_blank_pulse</t>
  </si>
  <si>
    <t>bHoldBlankPulse</t>
  </si>
  <si>
    <t>Hold Release Pulse</t>
  </si>
  <si>
    <t>hold_release_pulse</t>
  </si>
  <si>
    <t>bHoldReleasePulse</t>
  </si>
  <si>
    <t>Sync Test Control Register</t>
  </si>
  <si>
    <t>Sync_in override enable</t>
  </si>
  <si>
    <t>sync_test_control_reg</t>
  </si>
  <si>
    <t>t_sync_test_control_register</t>
  </si>
  <si>
    <t>sync_in_override_en</t>
  </si>
  <si>
    <t>SyncTestControl</t>
  </si>
  <si>
    <t>bSyncInOverrideEn</t>
  </si>
  <si>
    <t>Sync_in override value</t>
  </si>
  <si>
    <t>sync_in_override_value</t>
  </si>
  <si>
    <t>bSyncInOverrideValue</t>
  </si>
  <si>
    <t>Sync_out override enable</t>
  </si>
  <si>
    <t>sync_out_override_en</t>
  </si>
  <si>
    <t>bSyncOutOverrideEn</t>
  </si>
  <si>
    <t>Sync_out override value</t>
  </si>
  <si>
    <t>sync_out_override_value</t>
  </si>
  <si>
    <t>bSyncOutOverrideValue</t>
  </si>
  <si>
    <t>Sync Test Status Register</t>
  </si>
  <si>
    <t>Sync_in value</t>
  </si>
  <si>
    <t>sync_test_status_reg</t>
  </si>
  <si>
    <t>t_sync_test_status_register</t>
  </si>
  <si>
    <t>sync_in_value</t>
  </si>
  <si>
    <t>SyncTestStatus</t>
  </si>
  <si>
    <t>SyncInValue</t>
  </si>
  <si>
    <t>Sync_out value</t>
  </si>
  <si>
    <t>sync_out_value</t>
  </si>
  <si>
    <t>SyncOutValue</t>
  </si>
  <si>
    <t>constant c_AVALON_MM_SYNC_MAX_ADDR : natural range 0 to 255 := 16#41#;</t>
  </si>
  <si>
    <t xml:space="preserve">  hold_blank_pulse : std_logic; -- Hold Blank Pulse</t>
  </si>
  <si>
    <t xml:space="preserve">  hold_release_pulse : std_logic; -- Hold Release Pulse</t>
  </si>
  <si>
    <t>-- Sync Test Control Register</t>
  </si>
  <si>
    <t>type t_sync_test_control_register is record</t>
  </si>
  <si>
    <t xml:space="preserve">  sync_in_override_en : std_logic; -- Sync_in override enable</t>
  </si>
  <si>
    <t xml:space="preserve">  sync_in_override_value : std_logic; -- Sync_in override value</t>
  </si>
  <si>
    <t xml:space="preserve">  sync_out_override_en : std_logic; -- Sync_out override enable</t>
  </si>
  <si>
    <t xml:space="preserve">  sync_out_override_value : std_logic; -- Sync_out override value</t>
  </si>
  <si>
    <t>end record t_sync_test_control_register;</t>
  </si>
  <si>
    <t>-- Sync Test Status Register</t>
  </si>
  <si>
    <t>type t_sync_test_status_register is record</t>
  </si>
  <si>
    <t xml:space="preserve">  sync_in_value : std_logic; -- Sync_in value</t>
  </si>
  <si>
    <t xml:space="preserve">  sync_out_value : std_logic; -- Sync_out value</t>
  </si>
  <si>
    <t>end record t_sync_test_status_register;</t>
  </si>
  <si>
    <t xml:space="preserve">  sync_test_control_reg : t_sync_test_control_register; -- Sync Test Control Register</t>
  </si>
  <si>
    <t xml:space="preserve">  sync_test_status_reg : t_sync_test_status_register; -- Sync Test Status Register</t>
  </si>
  <si>
    <t xml:space="preserve">      -- Sync Control Register : Hold Blank Pulse</t>
  </si>
  <si>
    <t xml:space="preserve">      avalon_mm_o.readdata(0) &lt;= mm_write_reg_i.sync_control_reg.hold_blank_pulse;</t>
  </si>
  <si>
    <t xml:space="preserve">      -- Sync Control Register : Hold Release Pulse</t>
  </si>
  <si>
    <t xml:space="preserve">      avalon_mm_o.readdata(0) &lt;= mm_write_reg_i.sync_control_reg.hold_release_pulse;</t>
  </si>
  <si>
    <t xml:space="preserve">  when (16#3A#) =&gt;</t>
  </si>
  <si>
    <t xml:space="preserve">      -- Sync Test Control Register : Sync_in override enable</t>
  </si>
  <si>
    <t xml:space="preserve">      avalon_mm_o.readdata(0) &lt;= mm_write_reg_i.sync_test_control_reg.sync_in_override_en;</t>
  </si>
  <si>
    <t xml:space="preserve">  when (16#3B#) =&gt;</t>
  </si>
  <si>
    <t xml:space="preserve">      -- Sync Test Control Register : Sync_in override value</t>
  </si>
  <si>
    <t xml:space="preserve">      avalon_mm_o.readdata(0) &lt;= mm_write_reg_i.sync_test_control_reg.sync_in_override_value;</t>
  </si>
  <si>
    <t xml:space="preserve">  when (16#3C#) =&gt;</t>
  </si>
  <si>
    <t xml:space="preserve">      -- Sync Test Control Register : Sync_out override enable</t>
  </si>
  <si>
    <t xml:space="preserve">      avalon_mm_o.readdata(0) &lt;= mm_write_reg_i.sync_test_control_reg.sync_out_override_en;</t>
  </si>
  <si>
    <t xml:space="preserve">  when (16#3D#) =&gt;</t>
  </si>
  <si>
    <t xml:space="preserve">      -- Sync Test Control Register : Sync_out override value</t>
  </si>
  <si>
    <t xml:space="preserve">      avalon_mm_o.readdata(0) &lt;= mm_write_reg_i.sync_test_control_reg.sync_out_override_value;</t>
  </si>
  <si>
    <t xml:space="preserve">  when (16#3E#) =&gt;</t>
  </si>
  <si>
    <t xml:space="preserve">      -- Sync Test Status Register : Sync_in value</t>
  </si>
  <si>
    <t xml:space="preserve">      avalon_mm_o.readdata(0) &lt;= mm_read_reg_i.sync_test_status_reg.sync_in_value;</t>
  </si>
  <si>
    <t xml:space="preserve">  when (16#3F#) =&gt;</t>
  </si>
  <si>
    <t xml:space="preserve">      -- Sync Test Status Register : Sync_out value</t>
  </si>
  <si>
    <t xml:space="preserve">      avalon_mm_o.readdata(0) &lt;= mm_read_reg_i.sync_test_status_reg.sync_out_value;</t>
  </si>
  <si>
    <t xml:space="preserve">  when (16#40#) =&gt;</t>
  </si>
  <si>
    <t xml:space="preserve">  when (16#41#) =&gt;</t>
  </si>
  <si>
    <t xml:space="preserve">    -- if (avalon_mm_i.byteenable(0) = '1') then</t>
  </si>
  <si>
    <t xml:space="preserve">    -- end if;</t>
  </si>
  <si>
    <t xml:space="preserve">    -- if (avalon_mm_i.byteenable(1) = '1') then</t>
  </si>
  <si>
    <t xml:space="preserve">    -- if (avalon_mm_i.byteenable(2) = '1') then</t>
  </si>
  <si>
    <t xml:space="preserve">    -- if (avalon_mm_i.byteenable(3) = '1') then</t>
  </si>
  <si>
    <t xml:space="preserve">      mm_write_reg_o.sync_control_reg.hold_blank_pulse &lt;= avalon_mm_i.writedata(0);</t>
  </si>
  <si>
    <t xml:space="preserve">      mm_write_reg_o.sync_control_reg.hold_release_pulse &lt;= avalon_mm_i.writedata(0);</t>
  </si>
  <si>
    <t xml:space="preserve">      mm_write_reg_o.sync_test_control_reg.sync_in_override_en &lt;= avalon_mm_i.writedata(0);</t>
  </si>
  <si>
    <t xml:space="preserve">      mm_write_reg_o.sync_test_control_reg.sync_in_override_value &lt;= avalon_mm_i.writedata(0);</t>
  </si>
  <si>
    <t xml:space="preserve">      mm_write_reg_o.sync_test_control_reg.sync_out_override_en &lt;= avalon_mm_i.writedata(0);</t>
  </si>
  <si>
    <t xml:space="preserve">      mm_write_reg_o.sync_test_control_reg.sync_out_override_value &lt;= avalon_mm_i.writedata(0);</t>
  </si>
  <si>
    <t>-- Sync Control Register : Hold Blank Pulse</t>
  </si>
  <si>
    <t>mm_write_reg_o.sync_control_reg.hold_blank_pulse &lt;= '0';</t>
  </si>
  <si>
    <t>-- Sync Control Register : Hold Release Pulse</t>
  </si>
  <si>
    <t>mm_write_reg_o.sync_control_reg.hold_release_pulse &lt;= '0';</t>
  </si>
  <si>
    <t>-- Sync Test Control Register : Sync_in override enable</t>
  </si>
  <si>
    <t>mm_write_reg_o.sync_test_control_reg.sync_in_override_en &lt;= '0';</t>
  </si>
  <si>
    <t>-- Sync Test Control Register : Sync_in override value</t>
  </si>
  <si>
    <t>mm_write_reg_o.sync_test_control_reg.sync_in_override_value &lt;= '0';</t>
  </si>
  <si>
    <t>-- Sync Test Control Register : Sync_out override enable</t>
  </si>
  <si>
    <t>mm_write_reg_o.sync_test_control_reg.sync_out_override_en &lt;= '0';</t>
  </si>
  <si>
    <t>-- Sync Test Control Register : Sync_out override value</t>
  </si>
  <si>
    <t>mm_write_reg_o.sync_test_control_reg.sync_out_override_value &lt;= '0';</t>
  </si>
  <si>
    <t xml:space="preserve">  bool bHoldBlankPulse; /* Hold Blank Pulse */</t>
  </si>
  <si>
    <t xml:space="preserve">  bool bHoldReleasePulse; /* Hold Release Pulse */</t>
  </si>
  <si>
    <t xml:space="preserve"> /* Sync Test Control Register Struct */</t>
  </si>
  <si>
    <t>typedef struct SyncTestControl {</t>
  </si>
  <si>
    <t xml:space="preserve">  bool bSyncInOverrideEn; /* Sync_in override enable */</t>
  </si>
  <si>
    <t xml:space="preserve">  bool bSyncInOverrideValue; /* Sync_in override value */</t>
  </si>
  <si>
    <t xml:space="preserve">  bool bSyncOutOverrideEn; /* Sync_out override enable */</t>
  </si>
  <si>
    <t xml:space="preserve">  bool bSyncOutOverrideValue; /* Sync_out override value */</t>
  </si>
  <si>
    <t>} TSyncTestControl;</t>
  </si>
  <si>
    <t xml:space="preserve"> /* Sync Test Status Register Struct */</t>
  </si>
  <si>
    <t>typedef struct SyncTestStatus {</t>
  </si>
  <si>
    <t xml:space="preserve">  bool SyncInValue; /* Sync_in value */</t>
  </si>
  <si>
    <t xml:space="preserve">  bool SyncOutValue; /* Sync_out value */</t>
  </si>
  <si>
    <t>} TSyncTestStatus;</t>
  </si>
  <si>
    <t xml:space="preserve">  TSyncTestControl xSyncTestControl;</t>
  </si>
  <si>
    <t xml:space="preserve">  TSyncTestStatus xSyncTestStatus;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</si>
</sst>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customWidth="1"/>
    <col min="14" max="14" width="21.85546875" style="3" customWidth="1"/>
    <col min="15" max="15" width="25.28515625" style="3" customWidth="1"/>
    <col min="16" max="16" width="13.7109375" style="3" customWidth="1"/>
    <col min="17" max="17" width="18.28515625" style="3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31</v>
      </c>
      <c r="C2" s="2" t="s">
        <v>32</v>
      </c>
      <c r="D2" s="2" t="s">
        <v>1</v>
      </c>
      <c r="E2" s="6" t="s">
        <v>43</v>
      </c>
      <c r="F2" s="6" t="s">
        <v>2</v>
      </c>
      <c r="G2" s="6" t="s">
        <v>4</v>
      </c>
      <c r="H2" s="6" t="s">
        <v>3</v>
      </c>
      <c r="I2" s="16" t="s">
        <v>42</v>
      </c>
      <c r="J2" s="2" t="s">
        <v>33</v>
      </c>
      <c r="K2" s="6" t="s">
        <v>79</v>
      </c>
      <c r="L2" s="7" t="s">
        <v>80</v>
      </c>
      <c r="M2" s="7" t="s">
        <v>82</v>
      </c>
      <c r="N2" s="6" t="s">
        <v>44</v>
      </c>
      <c r="O2" s="6" t="s">
        <v>45</v>
      </c>
      <c r="P2" s="2" t="s">
        <v>46</v>
      </c>
      <c r="Q2" s="6" t="s">
        <v>73</v>
      </c>
      <c r="R2" s="6" t="s">
        <v>74</v>
      </c>
      <c r="S2" s="6" t="s">
        <v>76</v>
      </c>
      <c r="T2" s="6" t="s">
        <v>78</v>
      </c>
      <c r="U2" s="6" t="s">
        <v>75</v>
      </c>
      <c r="V2" s="2" t="s">
        <v>77</v>
      </c>
      <c r="W2" s="31" t="s">
        <v>8</v>
      </c>
      <c r="X2" s="31"/>
      <c r="Y2" s="31"/>
      <c r="Z2" s="31"/>
      <c r="AA2" s="32" t="s">
        <v>113</v>
      </c>
      <c r="AB2" s="32"/>
      <c r="AC2" s="32"/>
      <c r="AD2" s="32"/>
      <c r="AE2" s="32" t="s">
        <v>23</v>
      </c>
      <c r="AF2" s="32"/>
      <c r="AG2" s="32"/>
      <c r="AH2" s="32"/>
      <c r="AI2" s="11" t="s">
        <v>83</v>
      </c>
    </row>
    <row r="3" spans="1:35" x14ac:dyDescent="0.25">
      <c r="A3" s="3"/>
      <c r="B3" s="6" t="s">
        <v>40</v>
      </c>
      <c r="C3" s="6" t="s">
        <v>40</v>
      </c>
      <c r="D3" s="6" t="s">
        <v>40</v>
      </c>
      <c r="E3" s="6" t="s">
        <v>40</v>
      </c>
      <c r="F3" s="6" t="s">
        <v>40</v>
      </c>
      <c r="G3" s="6" t="s">
        <v>40</v>
      </c>
      <c r="H3" s="6" t="s">
        <v>40</v>
      </c>
      <c r="I3" s="16"/>
      <c r="J3" s="6" t="s">
        <v>40</v>
      </c>
      <c r="K3" s="6" t="s">
        <v>40</v>
      </c>
      <c r="L3" s="7" t="s">
        <v>40</v>
      </c>
      <c r="M3" s="7" t="s">
        <v>40</v>
      </c>
      <c r="N3" s="6" t="s">
        <v>40</v>
      </c>
      <c r="O3" s="6" t="s">
        <v>40</v>
      </c>
      <c r="P3" s="6" t="s">
        <v>40</v>
      </c>
      <c r="Q3" s="6" t="s">
        <v>40</v>
      </c>
      <c r="R3" s="6" t="s">
        <v>40</v>
      </c>
      <c r="S3" s="6" t="s">
        <v>40</v>
      </c>
      <c r="T3" s="6" t="s">
        <v>40</v>
      </c>
      <c r="U3" s="6" t="s">
        <v>40</v>
      </c>
      <c r="V3" s="6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180</v>
      </c>
      <c r="C4" s="3" t="s">
        <v>195</v>
      </c>
      <c r="D4" s="3" t="s">
        <v>0</v>
      </c>
      <c r="E4" s="3" t="s">
        <v>335</v>
      </c>
      <c r="F4" s="3" t="s">
        <v>262</v>
      </c>
      <c r="G4" s="3" t="s">
        <v>250</v>
      </c>
      <c r="H4" s="3" t="s">
        <v>274</v>
      </c>
      <c r="I4" s="3" t="s">
        <v>41</v>
      </c>
      <c r="J4" s="3">
        <v>1</v>
      </c>
      <c r="K4" s="3" t="s">
        <v>40</v>
      </c>
      <c r="L4" s="3" t="s">
        <v>40</v>
      </c>
      <c r="M4" s="3" t="s">
        <v>337</v>
      </c>
      <c r="N4" s="3" t="s">
        <v>338</v>
      </c>
      <c r="O4" s="3" t="s">
        <v>339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180</v>
      </c>
      <c r="C5" s="3" t="s">
        <v>196</v>
      </c>
      <c r="D5" s="3" t="s">
        <v>0</v>
      </c>
      <c r="E5" s="3" t="s">
        <v>335</v>
      </c>
      <c r="F5" s="3" t="s">
        <v>262</v>
      </c>
      <c r="G5" s="3" t="s">
        <v>250</v>
      </c>
      <c r="H5" s="3" t="s">
        <v>275</v>
      </c>
      <c r="I5" s="3" t="s">
        <v>41</v>
      </c>
      <c r="J5" s="3">
        <v>8</v>
      </c>
      <c r="K5" s="3" t="s">
        <v>40</v>
      </c>
      <c r="L5" s="3" t="s">
        <v>40</v>
      </c>
      <c r="M5" s="3" t="s">
        <v>337</v>
      </c>
      <c r="N5" s="3" t="s">
        <v>338</v>
      </c>
      <c r="O5" s="3" t="s">
        <v>340</v>
      </c>
      <c r="P5" s="3" t="s">
        <v>48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9" si="11">IF(MOD($S5,4)=3,"X",IF(AND(MOD($S5,4)=2,$J5&gt;8),"X",IF(AND(MOD($S5,4)=1,$J5&gt;16),"X",IF(AND(MOD($S5,4)=0,$J5&gt;24),"X",""))))</f>
        <v/>
      </c>
      <c r="X5" s="3" t="str">
        <f t="shared" ref="X5:X69" si="12">IF(MOD($S5,4)=2,"X",IF(AND(MOD($S5,4)=1,$J5&gt;8),"X",IF(AND(MOD($S5,4)=0,$J5&gt;16),"X","")))</f>
        <v/>
      </c>
      <c r="Y5" s="3" t="str">
        <f t="shared" ref="Y5:Y69" si="13">IF(MOD($S5,4)=1,"X",IF(AND(MOD($S5,4)=0,$J5&gt;8),"X",""))</f>
        <v/>
      </c>
      <c r="Z5" s="3" t="str">
        <f t="shared" ref="Z5:Z69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(7 downto 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180</v>
      </c>
      <c r="C6" s="3" t="s">
        <v>197</v>
      </c>
      <c r="D6" s="3" t="s">
        <v>0</v>
      </c>
      <c r="E6" s="3" t="s">
        <v>335</v>
      </c>
      <c r="F6" s="3" t="s">
        <v>262</v>
      </c>
      <c r="G6" s="3" t="s">
        <v>250</v>
      </c>
      <c r="H6" s="3" t="s">
        <v>276</v>
      </c>
      <c r="I6" s="3" t="s">
        <v>41</v>
      </c>
      <c r="J6" s="3">
        <v>8</v>
      </c>
      <c r="K6" s="3" t="s">
        <v>40</v>
      </c>
      <c r="L6" s="3" t="s">
        <v>40</v>
      </c>
      <c r="M6" s="3" t="s">
        <v>337</v>
      </c>
      <c r="N6" s="3" t="s">
        <v>338</v>
      </c>
      <c r="O6" s="3" t="s">
        <v>341</v>
      </c>
      <c r="P6" s="3" t="s">
        <v>48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/>
      </c>
      <c r="AB6" s="3" t="str">
        <f t="shared" ref="AB6:AB69" si="17">IF(X6="","",CONCATENATE("(",IF(($J6-COUNTIF($Y6:$Z6,"X")*8)=1,"16)",CONCATENATE(IF(($J6-COUNTIF($Y6:$Z6,"X")*8)&gt;=8,24,($J6-COUNTIF($Y6:$Z6,"X")*8)+16)-1," downto 16)"))))</f>
        <v/>
      </c>
      <c r="AC6" s="3" t="str">
        <f t="shared" ref="AC6:AC69" si="18">IF(Y6="","",CONCATENATE("(",IF(($J6-COUNTIF($Z6,"X")*8)=1,"8)",CONCATENATE(IF(($J6-COUNTIF($Z6,"X")*8)&gt;=8,16,($J6-COUNTIF($Z6,"X")*8)+8)-1," downto 8)"))))</f>
        <v/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69" si="23">IF(Z6="","",IF($J6&lt;=8,"",CONCATENATE("(",IF($J6&gt;=8,7,$J6-1)," downto ",0,")")))</f>
        <v/>
      </c>
    </row>
    <row r="7" spans="1:35" x14ac:dyDescent="0.25">
      <c r="B7" s="3" t="s">
        <v>180</v>
      </c>
      <c r="C7" s="3" t="s">
        <v>198</v>
      </c>
      <c r="D7" s="3" t="s">
        <v>0</v>
      </c>
      <c r="E7" s="3" t="s">
        <v>335</v>
      </c>
      <c r="F7" s="3" t="s">
        <v>262</v>
      </c>
      <c r="G7" s="3" t="s">
        <v>250</v>
      </c>
      <c r="H7" s="3" t="s">
        <v>277</v>
      </c>
      <c r="I7" s="3" t="s">
        <v>41</v>
      </c>
      <c r="J7" s="3">
        <v>8</v>
      </c>
      <c r="K7" s="3" t="s">
        <v>40</v>
      </c>
      <c r="L7" s="3" t="s">
        <v>40</v>
      </c>
      <c r="M7" s="3" t="s">
        <v>337</v>
      </c>
      <c r="N7" s="3" t="s">
        <v>338</v>
      </c>
      <c r="O7" s="3" t="s">
        <v>342</v>
      </c>
      <c r="P7" s="3" t="s">
        <v>48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(7 downto 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181</v>
      </c>
      <c r="C8" s="3" t="s">
        <v>199</v>
      </c>
      <c r="D8" s="3" t="s">
        <v>1</v>
      </c>
      <c r="E8" s="3" t="s">
        <v>334</v>
      </c>
      <c r="F8" s="3" t="s">
        <v>263</v>
      </c>
      <c r="G8" s="3" t="s">
        <v>251</v>
      </c>
      <c r="H8" s="3" t="s">
        <v>278</v>
      </c>
      <c r="I8" s="3" t="s">
        <v>41</v>
      </c>
      <c r="J8" s="3">
        <v>1</v>
      </c>
      <c r="K8" s="9" t="s">
        <v>81</v>
      </c>
      <c r="L8" s="3" t="s">
        <v>40</v>
      </c>
      <c r="M8" s="3" t="s">
        <v>337</v>
      </c>
      <c r="N8" s="3" t="s">
        <v>343</v>
      </c>
      <c r="O8" s="3" t="s">
        <v>344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181</v>
      </c>
      <c r="C9" s="3" t="s">
        <v>200</v>
      </c>
      <c r="D9" s="3" t="s">
        <v>1</v>
      </c>
      <c r="E9" s="3" t="s">
        <v>334</v>
      </c>
      <c r="F9" s="3" t="s">
        <v>263</v>
      </c>
      <c r="G9" s="3" t="s">
        <v>251</v>
      </c>
      <c r="H9" s="3" t="s">
        <v>279</v>
      </c>
      <c r="I9" s="3" t="s">
        <v>41</v>
      </c>
      <c r="J9" s="3">
        <v>1</v>
      </c>
      <c r="K9" s="9" t="s">
        <v>81</v>
      </c>
      <c r="L9" s="3" t="s">
        <v>40</v>
      </c>
      <c r="M9" s="3" t="s">
        <v>337</v>
      </c>
      <c r="N9" s="3" t="s">
        <v>343</v>
      </c>
      <c r="O9" s="3" t="s">
        <v>345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181</v>
      </c>
      <c r="C10" s="3" t="s">
        <v>201</v>
      </c>
      <c r="D10" s="3" t="s">
        <v>1</v>
      </c>
      <c r="E10" s="3" t="s">
        <v>334</v>
      </c>
      <c r="F10" s="3" t="s">
        <v>263</v>
      </c>
      <c r="G10" s="3" t="s">
        <v>251</v>
      </c>
      <c r="H10" s="3" t="s">
        <v>280</v>
      </c>
      <c r="I10" s="3" t="s">
        <v>41</v>
      </c>
      <c r="J10" s="3">
        <v>1</v>
      </c>
      <c r="K10" s="9" t="s">
        <v>81</v>
      </c>
      <c r="L10" s="3" t="s">
        <v>40</v>
      </c>
      <c r="M10" s="3" t="s">
        <v>337</v>
      </c>
      <c r="N10" s="3" t="s">
        <v>343</v>
      </c>
      <c r="O10" s="3" t="s">
        <v>346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181</v>
      </c>
      <c r="C11" s="3" t="s">
        <v>202</v>
      </c>
      <c r="D11" s="3" t="s">
        <v>1</v>
      </c>
      <c r="E11" s="3" t="s">
        <v>334</v>
      </c>
      <c r="F11" s="3" t="s">
        <v>263</v>
      </c>
      <c r="G11" s="3" t="s">
        <v>251</v>
      </c>
      <c r="H11" s="3" t="s">
        <v>281</v>
      </c>
      <c r="I11" s="3" t="s">
        <v>41</v>
      </c>
      <c r="J11" s="3">
        <v>1</v>
      </c>
      <c r="K11" s="9" t="s">
        <v>81</v>
      </c>
      <c r="L11" s="3" t="s">
        <v>40</v>
      </c>
      <c r="M11" s="3" t="s">
        <v>337</v>
      </c>
      <c r="N11" s="3" t="s">
        <v>343</v>
      </c>
      <c r="O11" s="3" t="s">
        <v>347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181</v>
      </c>
      <c r="C12" s="3" t="s">
        <v>203</v>
      </c>
      <c r="D12" s="3" t="s">
        <v>1</v>
      </c>
      <c r="E12" s="3" t="s">
        <v>334</v>
      </c>
      <c r="F12" s="3" t="s">
        <v>263</v>
      </c>
      <c r="G12" s="3" t="s">
        <v>251</v>
      </c>
      <c r="H12" s="3" t="s">
        <v>282</v>
      </c>
      <c r="I12" s="3" t="s">
        <v>41</v>
      </c>
      <c r="J12" s="3">
        <v>1</v>
      </c>
      <c r="K12" s="9" t="s">
        <v>81</v>
      </c>
      <c r="L12" s="3" t="s">
        <v>40</v>
      </c>
      <c r="M12" s="3" t="s">
        <v>337</v>
      </c>
      <c r="N12" s="3" t="s">
        <v>343</v>
      </c>
      <c r="O12" s="3" t="s">
        <v>348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182</v>
      </c>
      <c r="C13" s="3" t="s">
        <v>204</v>
      </c>
      <c r="D13" s="3" t="s">
        <v>1</v>
      </c>
      <c r="E13" s="3" t="s">
        <v>334</v>
      </c>
      <c r="F13" s="3" t="s">
        <v>264</v>
      </c>
      <c r="G13" s="3" t="s">
        <v>252</v>
      </c>
      <c r="H13" s="3" t="s">
        <v>283</v>
      </c>
      <c r="I13" s="3" t="s">
        <v>41</v>
      </c>
      <c r="J13" s="3">
        <v>1</v>
      </c>
      <c r="K13" s="9" t="s">
        <v>81</v>
      </c>
      <c r="L13" s="9" t="s">
        <v>81</v>
      </c>
      <c r="M13" s="3" t="s">
        <v>337</v>
      </c>
      <c r="N13" s="3" t="s">
        <v>349</v>
      </c>
      <c r="O13" s="3" t="s">
        <v>350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182</v>
      </c>
      <c r="C14" s="3" t="s">
        <v>205</v>
      </c>
      <c r="D14" s="3" t="s">
        <v>1</v>
      </c>
      <c r="E14" s="3" t="s">
        <v>334</v>
      </c>
      <c r="F14" s="3" t="s">
        <v>264</v>
      </c>
      <c r="G14" s="3" t="s">
        <v>252</v>
      </c>
      <c r="H14" s="3" t="s">
        <v>284</v>
      </c>
      <c r="I14" s="3" t="s">
        <v>41</v>
      </c>
      <c r="J14" s="3">
        <v>1</v>
      </c>
      <c r="K14" s="9" t="s">
        <v>81</v>
      </c>
      <c r="L14" s="9" t="s">
        <v>81</v>
      </c>
      <c r="M14" s="3" t="s">
        <v>337</v>
      </c>
      <c r="N14" s="3" t="s">
        <v>349</v>
      </c>
      <c r="O14" s="3" t="s">
        <v>351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182</v>
      </c>
      <c r="C15" s="3" t="s">
        <v>206</v>
      </c>
      <c r="D15" s="3" t="s">
        <v>1</v>
      </c>
      <c r="E15" s="3" t="s">
        <v>334</v>
      </c>
      <c r="F15" s="3" t="s">
        <v>264</v>
      </c>
      <c r="G15" s="3" t="s">
        <v>252</v>
      </c>
      <c r="H15" s="3" t="s">
        <v>285</v>
      </c>
      <c r="I15" s="3" t="s">
        <v>41</v>
      </c>
      <c r="J15" s="3">
        <v>1</v>
      </c>
      <c r="K15" s="9" t="s">
        <v>81</v>
      </c>
      <c r="L15" s="9" t="s">
        <v>81</v>
      </c>
      <c r="M15" s="3" t="s">
        <v>337</v>
      </c>
      <c r="N15" s="3" t="s">
        <v>349</v>
      </c>
      <c r="O15" s="3" t="s">
        <v>352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182</v>
      </c>
      <c r="C16" s="3" t="s">
        <v>207</v>
      </c>
      <c r="D16" s="3" t="s">
        <v>1</v>
      </c>
      <c r="E16" s="3" t="s">
        <v>334</v>
      </c>
      <c r="F16" s="3" t="s">
        <v>264</v>
      </c>
      <c r="G16" s="3" t="s">
        <v>252</v>
      </c>
      <c r="H16" s="3" t="s">
        <v>286</v>
      </c>
      <c r="I16" s="3" t="s">
        <v>41</v>
      </c>
      <c r="J16" s="3">
        <v>1</v>
      </c>
      <c r="K16" s="9" t="s">
        <v>81</v>
      </c>
      <c r="L16" s="9" t="s">
        <v>81</v>
      </c>
      <c r="M16" s="3" t="s">
        <v>337</v>
      </c>
      <c r="N16" s="3" t="s">
        <v>349</v>
      </c>
      <c r="O16" s="3" t="s">
        <v>353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182</v>
      </c>
      <c r="C17" s="3" t="s">
        <v>208</v>
      </c>
      <c r="D17" s="3" t="s">
        <v>1</v>
      </c>
      <c r="E17" s="3" t="s">
        <v>334</v>
      </c>
      <c r="F17" s="3" t="s">
        <v>264</v>
      </c>
      <c r="G17" s="3" t="s">
        <v>252</v>
      </c>
      <c r="H17" s="3" t="s">
        <v>287</v>
      </c>
      <c r="I17" s="3" t="s">
        <v>41</v>
      </c>
      <c r="J17" s="3">
        <v>1</v>
      </c>
      <c r="K17" s="9" t="s">
        <v>81</v>
      </c>
      <c r="L17" s="9" t="s">
        <v>81</v>
      </c>
      <c r="M17" s="3" t="s">
        <v>337</v>
      </c>
      <c r="N17" s="3" t="s">
        <v>349</v>
      </c>
      <c r="O17" s="3" t="s">
        <v>354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183</v>
      </c>
      <c r="C18" s="3" t="s">
        <v>209</v>
      </c>
      <c r="D18" s="3" t="s">
        <v>0</v>
      </c>
      <c r="E18" s="3" t="s">
        <v>335</v>
      </c>
      <c r="F18" s="3" t="s">
        <v>265</v>
      </c>
      <c r="G18" s="3" t="s">
        <v>253</v>
      </c>
      <c r="H18" s="3" t="s">
        <v>288</v>
      </c>
      <c r="I18" s="3" t="s">
        <v>41</v>
      </c>
      <c r="J18" s="3">
        <v>1</v>
      </c>
      <c r="K18" s="3" t="s">
        <v>40</v>
      </c>
      <c r="L18" s="3" t="s">
        <v>40</v>
      </c>
      <c r="M18" s="3" t="s">
        <v>337</v>
      </c>
      <c r="N18" s="3" t="s">
        <v>355</v>
      </c>
      <c r="O18" s="3" t="s">
        <v>356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183</v>
      </c>
      <c r="C19" s="3" t="s">
        <v>210</v>
      </c>
      <c r="D19" s="3" t="s">
        <v>0</v>
      </c>
      <c r="E19" s="3" t="s">
        <v>335</v>
      </c>
      <c r="F19" s="3" t="s">
        <v>265</v>
      </c>
      <c r="G19" s="3" t="s">
        <v>253</v>
      </c>
      <c r="H19" s="3" t="s">
        <v>289</v>
      </c>
      <c r="I19" s="3" t="s">
        <v>41</v>
      </c>
      <c r="J19" s="3">
        <v>1</v>
      </c>
      <c r="K19" s="3" t="s">
        <v>40</v>
      </c>
      <c r="L19" s="3" t="s">
        <v>40</v>
      </c>
      <c r="M19" s="3" t="s">
        <v>337</v>
      </c>
      <c r="N19" s="3" t="s">
        <v>355</v>
      </c>
      <c r="O19" s="3" t="s">
        <v>357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ref="U19:U69" si="24">ROUNDDOWN(S19/4,0)</f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ref="AA19:AA69" si="25">IF(W19="","",CONCATENATE("(",IF(($J19-COUNTIF($X19:$Z19,"X")*8)=1,"24)",CONCATENATE(IF(($J19-COUNTIF($X19:$Z19,"X")*8)&gt;=8,32,($J19-COUNTIF($X19:$Z19,"X")*8)+24)-1," downto 24)"))))</f>
        <v/>
      </c>
      <c r="AB19" s="3" t="str">
        <f t="shared" ref="AB19:AB69" si="26">IF(X19="","",CONCATENATE("(",IF(($J19-COUNTIF($Y19:$Z19,"X")*8)=1,"16)",CONCATENATE(IF(($J19-COUNTIF($Y19:$Z19,"X")*8)&gt;=8,24,($J19-COUNTIF($Y19:$Z19,"X")*8)+16)-1," downto 16)"))))</f>
        <v/>
      </c>
      <c r="AC19" s="3" t="str">
        <f t="shared" ref="AC19:AC69" si="27">IF(Y19="","",CONCATENATE("(",IF(($J19-COUNTIF($Z19,"X")*8)=1,"8)",CONCATENATE(IF(($J19-COUNTIF($Z19,"X")*8)&gt;=8,16,($J19-COUNTIF($Z19,"X")*8)+8)-1," downto 8)"))))</f>
        <v/>
      </c>
      <c r="AD19" s="3" t="str">
        <f t="shared" ref="AD19:AD69" si="28">IF(Z19="","",CONCATENATE("(",IF($J19=1,"0)",CONCATENATE(IF($J19&gt;=8,8,$J19)-1," downto 0)"))))</f>
        <v>(0)</v>
      </c>
      <c r="AE19" s="3" t="str">
        <f t="shared" ref="AE19:AE69" si="29">IF(W19="","",IF($J19&lt;=8,"",IF(($J19-COUNTIF($X19:$Z19,"X")*8)=1,CONCATENATE("(",($J19-1),")"),CONCATENATE("(",IF(($J19-COUNTIF($X19:$Z19,"X")*8)&gt;=8,COUNTIF($X19:$Z19,"X")*8+7,$J19-COUNTIF($X19:$Z19,"X")*8-1+COUNTIF($X19:$Z19,"X")*8)," downto ",COUNTIF($X19:$Z19,"X")*8,")"))))</f>
        <v/>
      </c>
      <c r="AF19" s="3" t="str">
        <f t="shared" ref="AF19:AF69" si="30">IF(X19="","",IF($J19&lt;=8,"",IF(($J19-COUNTIF($Y19:$Z19,"X")*8)=1,CONCATENATE("(",($J19-1),")"),CONCATENATE("(",IF(($J19-COUNTIF($Y19:$Z19,"X")*8)&gt;=8,COUNTIF($Y19:$Z19,"X")*8+7,$J19-COUNTIF($Y19:$Z19,"X")*8-1+COUNTIF($Y19:$Z19,"X")*8)," downto ",COUNTIF($Y19:$Z19,"X")*8,")"))))</f>
        <v/>
      </c>
      <c r="AG19" s="3" t="str">
        <f t="shared" ref="AG19:AG69" si="31">IF(Y19="","",IF($J19&lt;=8,"",IF(($J19-COUNTIF($Z19,"X")*8)=1,CONCATENATE("(",($J19-1),")"),CONCATENATE("(",IF(($J19-COUNTIF($Z19,"X")*8)&gt;=8,COUNTIF($Z19,"X")*8+7,$J19-COUNTIF($Z19,"X")*8-1+COUNTIF($Z19,"X")*8)," downto ",COUNTIF($Z19,"X")*8,")"))))</f>
        <v/>
      </c>
      <c r="AH19" s="3" t="str">
        <f t="shared" ref="AH19:AH69" si="32">IF(Z19="","",IF($J19&lt;=8,"",CONCATENATE("(",IF($J19&gt;=8,7,$J19-1)," downto ",0,")")))</f>
        <v/>
      </c>
    </row>
    <row r="20" spans="2:34" x14ac:dyDescent="0.25">
      <c r="B20" s="3" t="s">
        <v>183</v>
      </c>
      <c r="C20" s="3" t="s">
        <v>211</v>
      </c>
      <c r="D20" s="3" t="s">
        <v>0</v>
      </c>
      <c r="E20" s="3" t="s">
        <v>335</v>
      </c>
      <c r="F20" s="3" t="s">
        <v>265</v>
      </c>
      <c r="G20" s="3" t="s">
        <v>253</v>
      </c>
      <c r="H20" s="3" t="s">
        <v>290</v>
      </c>
      <c r="I20" s="3" t="s">
        <v>41</v>
      </c>
      <c r="J20" s="3">
        <v>1</v>
      </c>
      <c r="K20" s="3" t="s">
        <v>40</v>
      </c>
      <c r="L20" s="3" t="s">
        <v>40</v>
      </c>
      <c r="M20" s="3" t="s">
        <v>337</v>
      </c>
      <c r="N20" s="3" t="s">
        <v>355</v>
      </c>
      <c r="O20" s="3" t="s">
        <v>358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183</v>
      </c>
      <c r="C21" s="3" t="s">
        <v>212</v>
      </c>
      <c r="D21" s="3" t="s">
        <v>0</v>
      </c>
      <c r="E21" s="3" t="s">
        <v>335</v>
      </c>
      <c r="F21" s="3" t="s">
        <v>265</v>
      </c>
      <c r="G21" s="3" t="s">
        <v>253</v>
      </c>
      <c r="H21" s="3" t="s">
        <v>291</v>
      </c>
      <c r="I21" s="3" t="s">
        <v>41</v>
      </c>
      <c r="J21" s="3">
        <v>1</v>
      </c>
      <c r="K21" s="3" t="s">
        <v>40</v>
      </c>
      <c r="L21" s="3" t="s">
        <v>40</v>
      </c>
      <c r="M21" s="3" t="s">
        <v>337</v>
      </c>
      <c r="N21" s="3" t="s">
        <v>355</v>
      </c>
      <c r="O21" s="3" t="s">
        <v>359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183</v>
      </c>
      <c r="C22" s="3" t="s">
        <v>213</v>
      </c>
      <c r="D22" s="3" t="s">
        <v>0</v>
      </c>
      <c r="E22" s="3" t="s">
        <v>335</v>
      </c>
      <c r="F22" s="3" t="s">
        <v>265</v>
      </c>
      <c r="G22" s="3" t="s">
        <v>253</v>
      </c>
      <c r="H22" s="3" t="s">
        <v>292</v>
      </c>
      <c r="I22" s="3" t="s">
        <v>41</v>
      </c>
      <c r="J22" s="3">
        <v>1</v>
      </c>
      <c r="K22" s="3" t="s">
        <v>40</v>
      </c>
      <c r="L22" s="3" t="s">
        <v>40</v>
      </c>
      <c r="M22" s="3" t="s">
        <v>337</v>
      </c>
      <c r="N22" s="3" t="s">
        <v>355</v>
      </c>
      <c r="O22" s="3" t="s">
        <v>360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184</v>
      </c>
      <c r="C23" s="3" t="s">
        <v>214</v>
      </c>
      <c r="D23" s="3" t="s">
        <v>1</v>
      </c>
      <c r="E23" s="3" t="s">
        <v>334</v>
      </c>
      <c r="F23" s="3" t="s">
        <v>266</v>
      </c>
      <c r="G23" s="3" t="s">
        <v>254</v>
      </c>
      <c r="H23" s="3" t="s">
        <v>293</v>
      </c>
      <c r="I23" s="3" t="s">
        <v>41</v>
      </c>
      <c r="J23" s="3">
        <v>1</v>
      </c>
      <c r="K23" s="9" t="s">
        <v>81</v>
      </c>
      <c r="L23" s="3" t="s">
        <v>40</v>
      </c>
      <c r="M23" s="3" t="s">
        <v>337</v>
      </c>
      <c r="N23" s="3" t="s">
        <v>361</v>
      </c>
      <c r="O23" s="3" t="s">
        <v>362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184</v>
      </c>
      <c r="C24" s="3" t="s">
        <v>215</v>
      </c>
      <c r="D24" s="3" t="s">
        <v>1</v>
      </c>
      <c r="E24" s="3" t="s">
        <v>334</v>
      </c>
      <c r="F24" s="3" t="s">
        <v>266</v>
      </c>
      <c r="G24" s="3" t="s">
        <v>254</v>
      </c>
      <c r="H24" s="3" t="s">
        <v>294</v>
      </c>
      <c r="I24" s="3" t="s">
        <v>41</v>
      </c>
      <c r="J24" s="3">
        <v>1</v>
      </c>
      <c r="K24" s="9" t="s">
        <v>81</v>
      </c>
      <c r="L24" s="3" t="s">
        <v>40</v>
      </c>
      <c r="M24" s="3" t="s">
        <v>337</v>
      </c>
      <c r="N24" s="3" t="s">
        <v>361</v>
      </c>
      <c r="O24" s="3" t="s">
        <v>363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184</v>
      </c>
      <c r="C25" s="3" t="s">
        <v>216</v>
      </c>
      <c r="D25" s="3" t="s">
        <v>1</v>
      </c>
      <c r="E25" s="3" t="s">
        <v>334</v>
      </c>
      <c r="F25" s="3" t="s">
        <v>266</v>
      </c>
      <c r="G25" s="3" t="s">
        <v>254</v>
      </c>
      <c r="H25" s="3" t="s">
        <v>295</v>
      </c>
      <c r="I25" s="3" t="s">
        <v>41</v>
      </c>
      <c r="J25" s="3">
        <v>1</v>
      </c>
      <c r="K25" s="9" t="s">
        <v>81</v>
      </c>
      <c r="L25" s="3" t="s">
        <v>40</v>
      </c>
      <c r="M25" s="3" t="s">
        <v>337</v>
      </c>
      <c r="N25" s="3" t="s">
        <v>361</v>
      </c>
      <c r="O25" s="3" t="s">
        <v>364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24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184</v>
      </c>
      <c r="C26" s="3" t="s">
        <v>217</v>
      </c>
      <c r="D26" s="3" t="s">
        <v>1</v>
      </c>
      <c r="E26" s="3" t="s">
        <v>334</v>
      </c>
      <c r="F26" s="3" t="s">
        <v>266</v>
      </c>
      <c r="G26" s="3" t="s">
        <v>254</v>
      </c>
      <c r="H26" s="3" t="s">
        <v>296</v>
      </c>
      <c r="I26" s="3" t="s">
        <v>41</v>
      </c>
      <c r="J26" s="3">
        <v>1</v>
      </c>
      <c r="K26" s="9" t="s">
        <v>81</v>
      </c>
      <c r="L26" s="3" t="s">
        <v>40</v>
      </c>
      <c r="M26" s="3" t="s">
        <v>337</v>
      </c>
      <c r="N26" s="3" t="s">
        <v>361</v>
      </c>
      <c r="O26" s="3" t="s">
        <v>365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24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185</v>
      </c>
      <c r="C27" s="3" t="s">
        <v>218</v>
      </c>
      <c r="D27" s="3" t="s">
        <v>1</v>
      </c>
      <c r="E27" s="3" t="s">
        <v>334</v>
      </c>
      <c r="F27" s="3" t="s">
        <v>267</v>
      </c>
      <c r="G27" s="3" t="s">
        <v>255</v>
      </c>
      <c r="H27" s="3" t="s">
        <v>297</v>
      </c>
      <c r="I27" s="3" t="s">
        <v>41</v>
      </c>
      <c r="J27" s="3">
        <v>1</v>
      </c>
      <c r="K27" s="9" t="s">
        <v>81</v>
      </c>
      <c r="L27" s="9" t="s">
        <v>81</v>
      </c>
      <c r="M27" s="3" t="s">
        <v>337</v>
      </c>
      <c r="N27" s="3" t="s">
        <v>366</v>
      </c>
      <c r="O27" s="3" t="s">
        <v>367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24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185</v>
      </c>
      <c r="C28" s="3" t="s">
        <v>219</v>
      </c>
      <c r="D28" s="3" t="s">
        <v>1</v>
      </c>
      <c r="E28" s="3" t="s">
        <v>334</v>
      </c>
      <c r="F28" s="3" t="s">
        <v>267</v>
      </c>
      <c r="G28" s="3" t="s">
        <v>255</v>
      </c>
      <c r="H28" s="3" t="s">
        <v>298</v>
      </c>
      <c r="I28" s="3" t="s">
        <v>41</v>
      </c>
      <c r="J28" s="3">
        <v>1</v>
      </c>
      <c r="K28" s="9" t="s">
        <v>81</v>
      </c>
      <c r="L28" s="9" t="s">
        <v>81</v>
      </c>
      <c r="M28" s="3" t="s">
        <v>337</v>
      </c>
      <c r="N28" s="3" t="s">
        <v>366</v>
      </c>
      <c r="O28" s="3" t="s">
        <v>368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24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185</v>
      </c>
      <c r="C29" s="3" t="s">
        <v>220</v>
      </c>
      <c r="D29" s="3" t="s">
        <v>1</v>
      </c>
      <c r="E29" s="3" t="s">
        <v>334</v>
      </c>
      <c r="F29" s="3" t="s">
        <v>267</v>
      </c>
      <c r="G29" s="3" t="s">
        <v>255</v>
      </c>
      <c r="H29" s="3" t="s">
        <v>299</v>
      </c>
      <c r="I29" s="3" t="s">
        <v>41</v>
      </c>
      <c r="J29" s="3">
        <v>1</v>
      </c>
      <c r="K29" s="9" t="s">
        <v>81</v>
      </c>
      <c r="L29" s="9" t="s">
        <v>81</v>
      </c>
      <c r="M29" s="3" t="s">
        <v>337</v>
      </c>
      <c r="N29" s="3" t="s">
        <v>366</v>
      </c>
      <c r="O29" s="3" t="s">
        <v>369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24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185</v>
      </c>
      <c r="C30" s="3" t="s">
        <v>221</v>
      </c>
      <c r="D30" s="3" t="s">
        <v>1</v>
      </c>
      <c r="E30" s="3" t="s">
        <v>334</v>
      </c>
      <c r="F30" s="3" t="s">
        <v>267</v>
      </c>
      <c r="G30" s="3" t="s">
        <v>255</v>
      </c>
      <c r="H30" s="3" t="s">
        <v>300</v>
      </c>
      <c r="I30" s="3" t="s">
        <v>41</v>
      </c>
      <c r="J30" s="3">
        <v>1</v>
      </c>
      <c r="K30" s="9" t="s">
        <v>81</v>
      </c>
      <c r="L30" s="9" t="s">
        <v>81</v>
      </c>
      <c r="M30" s="3" t="s">
        <v>337</v>
      </c>
      <c r="N30" s="3" t="s">
        <v>366</v>
      </c>
      <c r="O30" s="3" t="s">
        <v>370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24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186</v>
      </c>
      <c r="C31" s="3" t="s">
        <v>222</v>
      </c>
      <c r="D31" s="3" t="s">
        <v>0</v>
      </c>
      <c r="E31" s="3" t="s">
        <v>335</v>
      </c>
      <c r="F31" s="3" t="s">
        <v>268</v>
      </c>
      <c r="G31" s="3" t="s">
        <v>256</v>
      </c>
      <c r="H31" s="3" t="s">
        <v>301</v>
      </c>
      <c r="I31" s="3" t="s">
        <v>41</v>
      </c>
      <c r="J31" s="3">
        <v>1</v>
      </c>
      <c r="K31" s="3" t="s">
        <v>40</v>
      </c>
      <c r="L31" s="3" t="s">
        <v>40</v>
      </c>
      <c r="M31" s="3" t="s">
        <v>337</v>
      </c>
      <c r="N31" s="3" t="s">
        <v>371</v>
      </c>
      <c r="O31" s="3" t="s">
        <v>372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24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186</v>
      </c>
      <c r="C32" s="3" t="s">
        <v>223</v>
      </c>
      <c r="D32" s="3" t="s">
        <v>0</v>
      </c>
      <c r="E32" s="3" t="s">
        <v>335</v>
      </c>
      <c r="F32" s="3" t="s">
        <v>268</v>
      </c>
      <c r="G32" s="3" t="s">
        <v>256</v>
      </c>
      <c r="H32" s="3" t="s">
        <v>302</v>
      </c>
      <c r="I32" s="3" t="s">
        <v>41</v>
      </c>
      <c r="J32" s="3">
        <v>1</v>
      </c>
      <c r="K32" s="3" t="s">
        <v>40</v>
      </c>
      <c r="L32" s="3" t="s">
        <v>40</v>
      </c>
      <c r="M32" s="3" t="s">
        <v>337</v>
      </c>
      <c r="N32" s="3" t="s">
        <v>371</v>
      </c>
      <c r="O32" s="3" t="s">
        <v>373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24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186</v>
      </c>
      <c r="C33" s="3" t="s">
        <v>224</v>
      </c>
      <c r="D33" s="3" t="s">
        <v>0</v>
      </c>
      <c r="E33" s="3" t="s">
        <v>335</v>
      </c>
      <c r="F33" s="3" t="s">
        <v>268</v>
      </c>
      <c r="G33" s="3" t="s">
        <v>256</v>
      </c>
      <c r="H33" s="3" t="s">
        <v>303</v>
      </c>
      <c r="I33" s="3" t="s">
        <v>41</v>
      </c>
      <c r="J33" s="3">
        <v>1</v>
      </c>
      <c r="K33" s="3" t="s">
        <v>40</v>
      </c>
      <c r="L33" s="3" t="s">
        <v>40</v>
      </c>
      <c r="M33" s="3" t="s">
        <v>337</v>
      </c>
      <c r="N33" s="3" t="s">
        <v>371</v>
      </c>
      <c r="O33" s="3" t="s">
        <v>374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24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/>
      </c>
      <c r="AD33" s="3" t="str">
        <f t="shared" si="28"/>
        <v>(0)</v>
      </c>
      <c r="AE33" s="3" t="str">
        <f t="shared" si="29"/>
        <v/>
      </c>
      <c r="AF33" s="3" t="str">
        <f t="shared" si="30"/>
        <v/>
      </c>
      <c r="AG33" s="3" t="str">
        <f t="shared" si="31"/>
        <v/>
      </c>
      <c r="AH33" s="3" t="str">
        <f t="shared" si="32"/>
        <v/>
      </c>
    </row>
    <row r="34" spans="2:34" x14ac:dyDescent="0.25">
      <c r="B34" s="3" t="s">
        <v>186</v>
      </c>
      <c r="C34" s="3" t="s">
        <v>225</v>
      </c>
      <c r="D34" s="3" t="s">
        <v>0</v>
      </c>
      <c r="E34" s="3" t="s">
        <v>335</v>
      </c>
      <c r="F34" s="3" t="s">
        <v>268</v>
      </c>
      <c r="G34" s="3" t="s">
        <v>256</v>
      </c>
      <c r="H34" s="3" t="s">
        <v>304</v>
      </c>
      <c r="I34" s="3" t="s">
        <v>41</v>
      </c>
      <c r="J34" s="3">
        <v>1</v>
      </c>
      <c r="K34" s="3" t="s">
        <v>40</v>
      </c>
      <c r="L34" s="3" t="s">
        <v>40</v>
      </c>
      <c r="M34" s="3" t="s">
        <v>337</v>
      </c>
      <c r="N34" s="3" t="s">
        <v>371</v>
      </c>
      <c r="O34" s="3" t="s">
        <v>375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24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/>
      </c>
      <c r="AD34" s="3" t="str">
        <f t="shared" si="28"/>
        <v>(0)</v>
      </c>
      <c r="AE34" s="3" t="str">
        <f t="shared" si="29"/>
        <v/>
      </c>
      <c r="AF34" s="3" t="str">
        <f t="shared" si="30"/>
        <v/>
      </c>
      <c r="AG34" s="3" t="str">
        <f t="shared" si="31"/>
        <v/>
      </c>
      <c r="AH34" s="3" t="str">
        <f t="shared" si="32"/>
        <v/>
      </c>
    </row>
    <row r="35" spans="2:34" x14ac:dyDescent="0.25">
      <c r="B35" s="3" t="s">
        <v>187</v>
      </c>
      <c r="C35" s="3" t="s">
        <v>226</v>
      </c>
      <c r="D35" s="3" t="s">
        <v>1</v>
      </c>
      <c r="E35" s="3" t="s">
        <v>334</v>
      </c>
      <c r="F35" s="3" t="s">
        <v>269</v>
      </c>
      <c r="G35" s="3" t="s">
        <v>257</v>
      </c>
      <c r="H35" s="3" t="s">
        <v>305</v>
      </c>
      <c r="I35" s="3" t="s">
        <v>41</v>
      </c>
      <c r="J35" s="3">
        <v>32</v>
      </c>
      <c r="K35" s="9" t="s">
        <v>122</v>
      </c>
      <c r="L35" s="3" t="s">
        <v>40</v>
      </c>
      <c r="M35" s="3" t="s">
        <v>337</v>
      </c>
      <c r="N35" s="3" t="s">
        <v>376</v>
      </c>
      <c r="O35" s="3" t="s">
        <v>377</v>
      </c>
      <c r="P35" s="3" t="s">
        <v>48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24"/>
        <v>31</v>
      </c>
      <c r="V35" s="3" t="str">
        <f t="shared" si="1"/>
        <v>1F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25"/>
        <v>(31 downto 24)</v>
      </c>
      <c r="AB35" s="3" t="str">
        <f t="shared" si="26"/>
        <v>(23 downto 16)</v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>(31 downto 24)</v>
      </c>
      <c r="AF35" s="3" t="str">
        <f t="shared" si="30"/>
        <v>(23 downto 16)</v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188</v>
      </c>
      <c r="C36" s="3" t="s">
        <v>227</v>
      </c>
      <c r="D36" s="3" t="s">
        <v>1</v>
      </c>
      <c r="E36" s="3" t="s">
        <v>334</v>
      </c>
      <c r="F36" s="3" t="s">
        <v>269</v>
      </c>
      <c r="G36" s="3" t="s">
        <v>257</v>
      </c>
      <c r="H36" s="3" t="s">
        <v>306</v>
      </c>
      <c r="I36" s="3" t="s">
        <v>41</v>
      </c>
      <c r="J36" s="3">
        <v>32</v>
      </c>
      <c r="K36" s="9" t="s">
        <v>122</v>
      </c>
      <c r="L36" s="3" t="s">
        <v>40</v>
      </c>
      <c r="M36" s="3" t="s">
        <v>337</v>
      </c>
      <c r="N36" s="3" t="s">
        <v>376</v>
      </c>
      <c r="O36" s="3" t="s">
        <v>378</v>
      </c>
      <c r="P36" s="3" t="s">
        <v>48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24"/>
        <v>32</v>
      </c>
      <c r="V36" s="3" t="str">
        <f t="shared" si="1"/>
        <v>20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328</v>
      </c>
      <c r="C37" s="3" t="s">
        <v>329</v>
      </c>
      <c r="D37" s="3" t="s">
        <v>1</v>
      </c>
      <c r="E37" s="3" t="s">
        <v>334</v>
      </c>
      <c r="F37" s="3" t="s">
        <v>269</v>
      </c>
      <c r="G37" s="3" t="s">
        <v>257</v>
      </c>
      <c r="H37" s="3" t="s">
        <v>330</v>
      </c>
      <c r="I37" s="3" t="s">
        <v>41</v>
      </c>
      <c r="J37" s="3">
        <v>32</v>
      </c>
      <c r="K37" s="9" t="s">
        <v>122</v>
      </c>
      <c r="L37" s="3" t="s">
        <v>40</v>
      </c>
      <c r="M37" s="3" t="s">
        <v>337</v>
      </c>
      <c r="N37" s="3" t="s">
        <v>376</v>
      </c>
      <c r="O37" s="3" t="s">
        <v>403</v>
      </c>
      <c r="P37" s="3" t="s">
        <v>48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24"/>
        <v>33</v>
      </c>
      <c r="V37" s="3" t="str">
        <f t="shared" si="1"/>
        <v>21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405</v>
      </c>
      <c r="C38" s="3" t="s">
        <v>228</v>
      </c>
      <c r="D38" s="3" t="s">
        <v>1</v>
      </c>
      <c r="E38" s="3" t="s">
        <v>334</v>
      </c>
      <c r="F38" s="3" t="s">
        <v>269</v>
      </c>
      <c r="G38" s="3" t="s">
        <v>257</v>
      </c>
      <c r="H38" s="3" t="s">
        <v>307</v>
      </c>
      <c r="I38" s="3" t="s">
        <v>41</v>
      </c>
      <c r="J38" s="3">
        <v>32</v>
      </c>
      <c r="K38" s="9" t="s">
        <v>122</v>
      </c>
      <c r="L38" s="3" t="s">
        <v>40</v>
      </c>
      <c r="M38" s="3" t="s">
        <v>337</v>
      </c>
      <c r="N38" s="3" t="s">
        <v>376</v>
      </c>
      <c r="O38" s="3" t="s">
        <v>379</v>
      </c>
      <c r="P38" s="3" t="s">
        <v>48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24"/>
        <v>34</v>
      </c>
      <c r="V38" s="3" t="str">
        <f t="shared" si="1"/>
        <v>22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5"/>
        <v>(31 downto 24)</v>
      </c>
      <c r="AB38" s="3" t="str">
        <f t="shared" si="26"/>
        <v>(23 downto 16)</v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>(31 downto 24)</v>
      </c>
      <c r="AF38" s="3" t="str">
        <f t="shared" si="30"/>
        <v>(23 downto 16)</v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189</v>
      </c>
      <c r="C39" s="3" t="s">
        <v>229</v>
      </c>
      <c r="D39" s="3" t="s">
        <v>1</v>
      </c>
      <c r="E39" s="3" t="s">
        <v>334</v>
      </c>
      <c r="F39" s="3" t="s">
        <v>269</v>
      </c>
      <c r="G39" s="3" t="s">
        <v>257</v>
      </c>
      <c r="H39" s="3" t="s">
        <v>308</v>
      </c>
      <c r="I39" s="3" t="s">
        <v>41</v>
      </c>
      <c r="J39" s="3">
        <v>32</v>
      </c>
      <c r="K39" s="9" t="s">
        <v>122</v>
      </c>
      <c r="L39" s="3" t="s">
        <v>40</v>
      </c>
      <c r="M39" s="3" t="s">
        <v>337</v>
      </c>
      <c r="N39" s="3" t="s">
        <v>376</v>
      </c>
      <c r="O39" s="3" t="s">
        <v>380</v>
      </c>
      <c r="P39" s="3" t="s">
        <v>48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24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331</v>
      </c>
      <c r="C40" s="3" t="s">
        <v>332</v>
      </c>
      <c r="D40" s="3" t="s">
        <v>1</v>
      </c>
      <c r="E40" s="3" t="s">
        <v>334</v>
      </c>
      <c r="F40" s="3" t="s">
        <v>269</v>
      </c>
      <c r="G40" s="3" t="s">
        <v>257</v>
      </c>
      <c r="H40" s="3" t="s">
        <v>333</v>
      </c>
      <c r="I40" s="3" t="s">
        <v>41</v>
      </c>
      <c r="J40" s="3">
        <v>32</v>
      </c>
      <c r="K40" s="9" t="s">
        <v>122</v>
      </c>
      <c r="L40" s="3" t="s">
        <v>40</v>
      </c>
      <c r="M40" s="3" t="s">
        <v>337</v>
      </c>
      <c r="N40" s="3" t="s">
        <v>376</v>
      </c>
      <c r="O40" s="3" t="s">
        <v>404</v>
      </c>
      <c r="P40" s="3" t="s">
        <v>48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24"/>
        <v>36</v>
      </c>
      <c r="V40" s="3" t="str">
        <f t="shared" si="1"/>
        <v>24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25"/>
        <v>(31 downto 24)</v>
      </c>
      <c r="AB40" s="3" t="str">
        <f t="shared" si="26"/>
        <v>(23 downto 16)</v>
      </c>
      <c r="AC40" s="3" t="str">
        <f t="shared" si="27"/>
        <v>(15 downto 8)</v>
      </c>
      <c r="AD40" s="3" t="str">
        <f t="shared" si="28"/>
        <v>(7 downto 0)</v>
      </c>
      <c r="AE40" s="3" t="str">
        <f t="shared" si="29"/>
        <v>(31 downto 24)</v>
      </c>
      <c r="AF40" s="3" t="str">
        <f t="shared" si="30"/>
        <v>(23 downto 16)</v>
      </c>
      <c r="AG40" s="3" t="str">
        <f t="shared" si="31"/>
        <v>(15 downto 8)</v>
      </c>
      <c r="AH40" s="3" t="str">
        <f t="shared" si="32"/>
        <v>(7 downto 0)</v>
      </c>
    </row>
    <row r="41" spans="2:34" x14ac:dyDescent="0.25">
      <c r="B41" s="3" t="s">
        <v>406</v>
      </c>
      <c r="C41" s="3" t="s">
        <v>407</v>
      </c>
      <c r="D41" s="3" t="s">
        <v>1</v>
      </c>
      <c r="E41" s="3" t="s">
        <v>334</v>
      </c>
      <c r="F41" s="3" t="s">
        <v>269</v>
      </c>
      <c r="G41" s="3" t="s">
        <v>257</v>
      </c>
      <c r="H41" s="3" t="s">
        <v>408</v>
      </c>
      <c r="I41" s="3" t="s">
        <v>41</v>
      </c>
      <c r="J41" s="3">
        <v>32</v>
      </c>
      <c r="K41" s="9" t="s">
        <v>939</v>
      </c>
      <c r="L41" s="3" t="s">
        <v>40</v>
      </c>
      <c r="M41" s="3" t="s">
        <v>337</v>
      </c>
      <c r="N41" s="3" t="s">
        <v>376</v>
      </c>
      <c r="O41" s="3" t="s">
        <v>409</v>
      </c>
      <c r="P41" s="3" t="s">
        <v>48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24"/>
        <v>37</v>
      </c>
      <c r="V41" s="3" t="str">
        <f t="shared" si="1"/>
        <v>25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25"/>
        <v>(31 downto 24)</v>
      </c>
      <c r="AB41" s="3" t="str">
        <f t="shared" si="26"/>
        <v>(23 downto 16)</v>
      </c>
      <c r="AC41" s="3" t="str">
        <f t="shared" si="27"/>
        <v>(15 downto 8)</v>
      </c>
      <c r="AD41" s="3" t="str">
        <f t="shared" si="28"/>
        <v>(7 downto 0)</v>
      </c>
      <c r="AE41" s="3" t="str">
        <f t="shared" si="29"/>
        <v>(31 downto 24)</v>
      </c>
      <c r="AF41" s="3" t="str">
        <f t="shared" si="30"/>
        <v>(23 downto 16)</v>
      </c>
      <c r="AG41" s="3" t="str">
        <f t="shared" si="31"/>
        <v>(15 downto 8)</v>
      </c>
      <c r="AH41" s="3" t="str">
        <f t="shared" si="32"/>
        <v>(7 downto 0)</v>
      </c>
    </row>
    <row r="42" spans="2:34" x14ac:dyDescent="0.25">
      <c r="B42" s="3" t="s">
        <v>190</v>
      </c>
      <c r="C42" s="3" t="s">
        <v>230</v>
      </c>
      <c r="D42" s="3" t="s">
        <v>1</v>
      </c>
      <c r="E42" s="3" t="s">
        <v>334</v>
      </c>
      <c r="F42" s="3" t="s">
        <v>269</v>
      </c>
      <c r="G42" s="3" t="s">
        <v>257</v>
      </c>
      <c r="H42" s="3" t="s">
        <v>309</v>
      </c>
      <c r="I42" s="3" t="s">
        <v>41</v>
      </c>
      <c r="J42" s="3">
        <v>32</v>
      </c>
      <c r="K42" s="9" t="s">
        <v>122</v>
      </c>
      <c r="L42" s="3" t="s">
        <v>40</v>
      </c>
      <c r="M42" s="3" t="s">
        <v>337</v>
      </c>
      <c r="N42" s="3" t="s">
        <v>376</v>
      </c>
      <c r="O42" s="3" t="s">
        <v>381</v>
      </c>
      <c r="P42" s="3" t="s">
        <v>48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24"/>
        <v>38</v>
      </c>
      <c r="V42" s="3" t="str">
        <f t="shared" si="1"/>
        <v>26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25"/>
        <v>(31 downto 24)</v>
      </c>
      <c r="AB42" s="3" t="str">
        <f t="shared" si="26"/>
        <v>(23 downto 16)</v>
      </c>
      <c r="AC42" s="3" t="str">
        <f t="shared" si="27"/>
        <v>(15 downto 8)</v>
      </c>
      <c r="AD42" s="3" t="str">
        <f t="shared" si="28"/>
        <v>(7 downto 0)</v>
      </c>
      <c r="AE42" s="3" t="str">
        <f t="shared" si="29"/>
        <v>(31 downto 24)</v>
      </c>
      <c r="AF42" s="3" t="str">
        <f t="shared" si="30"/>
        <v>(23 downto 16)</v>
      </c>
      <c r="AG42" s="3" t="str">
        <f t="shared" si="31"/>
        <v>(15 downto 8)</v>
      </c>
      <c r="AH42" s="3" t="str">
        <f t="shared" si="32"/>
        <v>(7 downto 0)</v>
      </c>
    </row>
    <row r="43" spans="2:34" x14ac:dyDescent="0.25">
      <c r="B43" s="3" t="s">
        <v>191</v>
      </c>
      <c r="C43" s="3" t="s">
        <v>231</v>
      </c>
      <c r="D43" s="3" t="s">
        <v>1</v>
      </c>
      <c r="E43" s="3" t="s">
        <v>334</v>
      </c>
      <c r="F43" s="3" t="s">
        <v>270</v>
      </c>
      <c r="G43" s="3" t="s">
        <v>258</v>
      </c>
      <c r="H43" s="3" t="s">
        <v>310</v>
      </c>
      <c r="I43" s="3" t="s">
        <v>41</v>
      </c>
      <c r="J43" s="3">
        <v>1</v>
      </c>
      <c r="K43" s="9" t="s">
        <v>336</v>
      </c>
      <c r="L43" s="3" t="s">
        <v>40</v>
      </c>
      <c r="M43" s="3" t="s">
        <v>337</v>
      </c>
      <c r="N43" s="3" t="s">
        <v>382</v>
      </c>
      <c r="O43" s="3" t="s">
        <v>383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24"/>
        <v>39</v>
      </c>
      <c r="V43" s="3" t="str">
        <f t="shared" si="1"/>
        <v>27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191</v>
      </c>
      <c r="C44" s="3" t="s">
        <v>232</v>
      </c>
      <c r="D44" s="3" t="s">
        <v>1</v>
      </c>
      <c r="E44" s="3" t="s">
        <v>334</v>
      </c>
      <c r="F44" s="3" t="s">
        <v>270</v>
      </c>
      <c r="G44" s="3" t="s">
        <v>258</v>
      </c>
      <c r="H44" s="3" t="s">
        <v>311</v>
      </c>
      <c r="I44" s="3" t="s">
        <v>41</v>
      </c>
      <c r="J44" s="3">
        <v>8</v>
      </c>
      <c r="K44" s="9" t="s">
        <v>122</v>
      </c>
      <c r="L44" s="3" t="s">
        <v>40</v>
      </c>
      <c r="M44" s="3" t="s">
        <v>337</v>
      </c>
      <c r="N44" s="3" t="s">
        <v>382</v>
      </c>
      <c r="O44" s="3" t="s">
        <v>384</v>
      </c>
      <c r="P44" s="3" t="s">
        <v>48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24"/>
        <v>40</v>
      </c>
      <c r="V44" s="3" t="str">
        <f t="shared" si="1"/>
        <v>28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(7 downto 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192</v>
      </c>
      <c r="C45" s="3" t="s">
        <v>233</v>
      </c>
      <c r="D45" s="3" t="s">
        <v>1</v>
      </c>
      <c r="E45" s="3" t="s">
        <v>334</v>
      </c>
      <c r="F45" s="3" t="s">
        <v>271</v>
      </c>
      <c r="G45" s="3" t="s">
        <v>259</v>
      </c>
      <c r="H45" s="3" t="s">
        <v>312</v>
      </c>
      <c r="I45" s="3" t="s">
        <v>41</v>
      </c>
      <c r="J45" s="3">
        <v>32</v>
      </c>
      <c r="K45" s="9" t="s">
        <v>122</v>
      </c>
      <c r="L45" s="3" t="s">
        <v>40</v>
      </c>
      <c r="M45" s="3" t="s">
        <v>337</v>
      </c>
      <c r="N45" s="3" t="s">
        <v>385</v>
      </c>
      <c r="O45" s="3" t="s">
        <v>386</v>
      </c>
      <c r="P45" s="3" t="s">
        <v>48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24"/>
        <v>41</v>
      </c>
      <c r="V45" s="3" t="str">
        <f t="shared" si="1"/>
        <v>29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5"/>
        <v>(31 downto 24)</v>
      </c>
      <c r="AB45" s="3" t="str">
        <f t="shared" si="26"/>
        <v>(23 downto 16)</v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>(31 downto 24)</v>
      </c>
      <c r="AF45" s="3" t="str">
        <f t="shared" si="30"/>
        <v>(23 downto 16)</v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193</v>
      </c>
      <c r="C46" s="3" t="s">
        <v>234</v>
      </c>
      <c r="D46" s="3" t="s">
        <v>1</v>
      </c>
      <c r="E46" s="3" t="s">
        <v>334</v>
      </c>
      <c r="F46" s="3" t="s">
        <v>272</v>
      </c>
      <c r="G46" s="3" t="s">
        <v>260</v>
      </c>
      <c r="H46" s="3" t="s">
        <v>274</v>
      </c>
      <c r="I46" s="3" t="s">
        <v>41</v>
      </c>
      <c r="J46" s="3">
        <v>1</v>
      </c>
      <c r="K46" s="9" t="s">
        <v>81</v>
      </c>
      <c r="L46" s="3" t="s">
        <v>40</v>
      </c>
      <c r="M46" s="3" t="s">
        <v>337</v>
      </c>
      <c r="N46" s="3" t="s">
        <v>387</v>
      </c>
      <c r="O46" s="3" t="s">
        <v>339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24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/>
      </c>
      <c r="AD46" s="3" t="str">
        <f t="shared" si="28"/>
        <v>(0)</v>
      </c>
      <c r="AE46" s="3" t="str">
        <f t="shared" si="29"/>
        <v/>
      </c>
      <c r="AF46" s="3" t="str">
        <f t="shared" si="30"/>
        <v/>
      </c>
      <c r="AG46" s="3" t="str">
        <f t="shared" si="31"/>
        <v/>
      </c>
      <c r="AH46" s="3" t="str">
        <f t="shared" si="32"/>
        <v/>
      </c>
    </row>
    <row r="47" spans="2:34" x14ac:dyDescent="0.25">
      <c r="B47" s="3" t="s">
        <v>193</v>
      </c>
      <c r="C47" s="3" t="s">
        <v>235</v>
      </c>
      <c r="D47" s="3" t="s">
        <v>1</v>
      </c>
      <c r="E47" s="3" t="s">
        <v>334</v>
      </c>
      <c r="F47" s="3" t="s">
        <v>272</v>
      </c>
      <c r="G47" s="3" t="s">
        <v>260</v>
      </c>
      <c r="H47" s="3" t="s">
        <v>313</v>
      </c>
      <c r="I47" s="3" t="s">
        <v>41</v>
      </c>
      <c r="J47" s="3">
        <v>1</v>
      </c>
      <c r="K47" s="9" t="s">
        <v>81</v>
      </c>
      <c r="L47" s="9" t="s">
        <v>81</v>
      </c>
      <c r="M47" s="3" t="s">
        <v>337</v>
      </c>
      <c r="N47" s="3" t="s">
        <v>387</v>
      </c>
      <c r="O47" s="3" t="s">
        <v>123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24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193</v>
      </c>
      <c r="C48" s="3" t="s">
        <v>236</v>
      </c>
      <c r="D48" s="3" t="s">
        <v>1</v>
      </c>
      <c r="E48" s="3" t="s">
        <v>334</v>
      </c>
      <c r="F48" s="3" t="s">
        <v>272</v>
      </c>
      <c r="G48" s="3" t="s">
        <v>260</v>
      </c>
      <c r="H48" s="3" t="s">
        <v>314</v>
      </c>
      <c r="I48" s="3" t="s">
        <v>41</v>
      </c>
      <c r="J48" s="3">
        <v>1</v>
      </c>
      <c r="K48" s="9" t="s">
        <v>81</v>
      </c>
      <c r="L48" s="9" t="s">
        <v>81</v>
      </c>
      <c r="M48" s="3" t="s">
        <v>337</v>
      </c>
      <c r="N48" s="3" t="s">
        <v>387</v>
      </c>
      <c r="O48" s="3" t="s">
        <v>388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24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193</v>
      </c>
      <c r="C49" s="3" t="s">
        <v>237</v>
      </c>
      <c r="D49" s="3" t="s">
        <v>1</v>
      </c>
      <c r="E49" s="3" t="s">
        <v>334</v>
      </c>
      <c r="F49" s="3" t="s">
        <v>272</v>
      </c>
      <c r="G49" s="3" t="s">
        <v>260</v>
      </c>
      <c r="H49" s="3" t="s">
        <v>315</v>
      </c>
      <c r="I49" s="3" t="s">
        <v>41</v>
      </c>
      <c r="J49" s="3">
        <v>1</v>
      </c>
      <c r="K49" s="9" t="s">
        <v>81</v>
      </c>
      <c r="L49" s="9" t="s">
        <v>81</v>
      </c>
      <c r="M49" s="3" t="s">
        <v>337</v>
      </c>
      <c r="N49" s="3" t="s">
        <v>387</v>
      </c>
      <c r="O49" s="3" t="s">
        <v>389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24"/>
        <v>45</v>
      </c>
      <c r="V49" s="3" t="str">
        <f t="shared" si="1"/>
        <v>2D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193</v>
      </c>
      <c r="C50" s="3" t="s">
        <v>238</v>
      </c>
      <c r="D50" s="3" t="s">
        <v>1</v>
      </c>
      <c r="E50" s="3" t="s">
        <v>334</v>
      </c>
      <c r="F50" s="3" t="s">
        <v>272</v>
      </c>
      <c r="G50" s="3" t="s">
        <v>260</v>
      </c>
      <c r="H50" s="3" t="s">
        <v>316</v>
      </c>
      <c r="I50" s="3" t="s">
        <v>41</v>
      </c>
      <c r="J50" s="3">
        <v>1</v>
      </c>
      <c r="K50" s="9" t="s">
        <v>81</v>
      </c>
      <c r="L50" s="9" t="s">
        <v>81</v>
      </c>
      <c r="M50" s="3" t="s">
        <v>337</v>
      </c>
      <c r="N50" s="3" t="s">
        <v>387</v>
      </c>
      <c r="O50" s="3" t="s">
        <v>390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24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193</v>
      </c>
      <c r="C51" s="3" t="s">
        <v>949</v>
      </c>
      <c r="D51" s="3" t="s">
        <v>1</v>
      </c>
      <c r="E51" s="3" t="s">
        <v>334</v>
      </c>
      <c r="F51" s="3" t="s">
        <v>272</v>
      </c>
      <c r="G51" s="3" t="s">
        <v>260</v>
      </c>
      <c r="H51" s="3" t="s">
        <v>950</v>
      </c>
      <c r="I51" s="3" t="s">
        <v>41</v>
      </c>
      <c r="J51" s="3">
        <v>1</v>
      </c>
      <c r="K51" s="9" t="s">
        <v>81</v>
      </c>
      <c r="L51" s="9" t="s">
        <v>40</v>
      </c>
      <c r="M51" s="3" t="s">
        <v>337</v>
      </c>
      <c r="N51" s="3" t="s">
        <v>387</v>
      </c>
      <c r="O51" s="3" t="s">
        <v>951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24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193</v>
      </c>
      <c r="C52" s="3" t="s">
        <v>952</v>
      </c>
      <c r="D52" s="3" t="s">
        <v>1</v>
      </c>
      <c r="E52" s="3" t="s">
        <v>334</v>
      </c>
      <c r="F52" s="3" t="s">
        <v>272</v>
      </c>
      <c r="G52" s="3" t="s">
        <v>260</v>
      </c>
      <c r="H52" s="3" t="s">
        <v>953</v>
      </c>
      <c r="I52" s="3" t="s">
        <v>41</v>
      </c>
      <c r="J52" s="3">
        <v>1</v>
      </c>
      <c r="K52" s="9" t="s">
        <v>81</v>
      </c>
      <c r="L52" s="9" t="s">
        <v>40</v>
      </c>
      <c r="M52" s="3" t="s">
        <v>337</v>
      </c>
      <c r="N52" s="3" t="s">
        <v>387</v>
      </c>
      <c r="O52" s="3" t="s">
        <v>954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24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193</v>
      </c>
      <c r="C53" s="3" t="s">
        <v>239</v>
      </c>
      <c r="D53" s="3" t="s">
        <v>1</v>
      </c>
      <c r="E53" s="3" t="s">
        <v>334</v>
      </c>
      <c r="F53" s="3" t="s">
        <v>272</v>
      </c>
      <c r="G53" s="3" t="s">
        <v>260</v>
      </c>
      <c r="H53" s="3" t="s">
        <v>317</v>
      </c>
      <c r="I53" s="3" t="s">
        <v>41</v>
      </c>
      <c r="J53" s="3">
        <v>1</v>
      </c>
      <c r="K53" s="9" t="s">
        <v>81</v>
      </c>
      <c r="L53" s="3" t="s">
        <v>40</v>
      </c>
      <c r="M53" s="3" t="s">
        <v>337</v>
      </c>
      <c r="N53" s="3" t="s">
        <v>387</v>
      </c>
      <c r="O53" s="3" t="s">
        <v>391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24"/>
        <v>49</v>
      </c>
      <c r="V53" s="3" t="str">
        <f t="shared" si="1"/>
        <v>31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193</v>
      </c>
      <c r="C54" s="3" t="s">
        <v>240</v>
      </c>
      <c r="D54" s="3" t="s">
        <v>1</v>
      </c>
      <c r="E54" s="3" t="s">
        <v>334</v>
      </c>
      <c r="F54" s="3" t="s">
        <v>272</v>
      </c>
      <c r="G54" s="3" t="s">
        <v>260</v>
      </c>
      <c r="H54" s="3" t="s">
        <v>318</v>
      </c>
      <c r="I54" s="3" t="s">
        <v>41</v>
      </c>
      <c r="J54" s="3">
        <v>1</v>
      </c>
      <c r="K54" s="9" t="s">
        <v>81</v>
      </c>
      <c r="L54" s="3" t="s">
        <v>40</v>
      </c>
      <c r="M54" s="3" t="s">
        <v>337</v>
      </c>
      <c r="N54" s="3" t="s">
        <v>387</v>
      </c>
      <c r="O54" s="3" t="s">
        <v>392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24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193</v>
      </c>
      <c r="C55" s="3" t="s">
        <v>241</v>
      </c>
      <c r="D55" s="3" t="s">
        <v>1</v>
      </c>
      <c r="E55" s="3" t="s">
        <v>334</v>
      </c>
      <c r="F55" s="3" t="s">
        <v>272</v>
      </c>
      <c r="G55" s="3" t="s">
        <v>260</v>
      </c>
      <c r="H55" s="3" t="s">
        <v>319</v>
      </c>
      <c r="I55" s="3" t="s">
        <v>41</v>
      </c>
      <c r="J55" s="3">
        <v>1</v>
      </c>
      <c r="K55" s="9" t="s">
        <v>81</v>
      </c>
      <c r="L55" s="3" t="s">
        <v>40</v>
      </c>
      <c r="M55" s="3" t="s">
        <v>337</v>
      </c>
      <c r="N55" s="3" t="s">
        <v>387</v>
      </c>
      <c r="O55" s="3" t="s">
        <v>393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24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193</v>
      </c>
      <c r="C56" s="3" t="s">
        <v>242</v>
      </c>
      <c r="D56" s="3" t="s">
        <v>1</v>
      </c>
      <c r="E56" s="3" t="s">
        <v>334</v>
      </c>
      <c r="F56" s="3" t="s">
        <v>272</v>
      </c>
      <c r="G56" s="3" t="s">
        <v>260</v>
      </c>
      <c r="H56" s="3" t="s">
        <v>320</v>
      </c>
      <c r="I56" s="3" t="s">
        <v>41</v>
      </c>
      <c r="J56" s="3">
        <v>1</v>
      </c>
      <c r="K56" s="9" t="s">
        <v>81</v>
      </c>
      <c r="L56" s="3" t="s">
        <v>40</v>
      </c>
      <c r="M56" s="3" t="s">
        <v>337</v>
      </c>
      <c r="N56" s="3" t="s">
        <v>387</v>
      </c>
      <c r="O56" s="3" t="s">
        <v>394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24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5"/>
        <v/>
      </c>
      <c r="AB56" s="3" t="str">
        <f t="shared" si="26"/>
        <v/>
      </c>
      <c r="AC56" s="3" t="str">
        <f t="shared" si="27"/>
        <v/>
      </c>
      <c r="AD56" s="3" t="str">
        <f t="shared" si="28"/>
        <v>(0)</v>
      </c>
      <c r="AE56" s="3" t="str">
        <f t="shared" si="29"/>
        <v/>
      </c>
      <c r="AF56" s="3" t="str">
        <f t="shared" si="30"/>
        <v/>
      </c>
      <c r="AG56" s="3" t="str">
        <f t="shared" si="31"/>
        <v/>
      </c>
      <c r="AH56" s="3" t="str">
        <f t="shared" si="32"/>
        <v/>
      </c>
    </row>
    <row r="57" spans="2:34" x14ac:dyDescent="0.25">
      <c r="B57" s="3" t="s">
        <v>193</v>
      </c>
      <c r="C57" s="3" t="s">
        <v>243</v>
      </c>
      <c r="D57" s="3" t="s">
        <v>1</v>
      </c>
      <c r="E57" s="3" t="s">
        <v>334</v>
      </c>
      <c r="F57" s="3" t="s">
        <v>272</v>
      </c>
      <c r="G57" s="3" t="s">
        <v>260</v>
      </c>
      <c r="H57" s="3" t="s">
        <v>321</v>
      </c>
      <c r="I57" s="3" t="s">
        <v>41</v>
      </c>
      <c r="J57" s="3">
        <v>1</v>
      </c>
      <c r="K57" s="9" t="s">
        <v>81</v>
      </c>
      <c r="L57" s="3" t="s">
        <v>40</v>
      </c>
      <c r="M57" s="3" t="s">
        <v>337</v>
      </c>
      <c r="N57" s="3" t="s">
        <v>387</v>
      </c>
      <c r="O57" s="3" t="s">
        <v>395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24"/>
        <v>53</v>
      </c>
      <c r="V57" s="3" t="str">
        <f t="shared" si="1"/>
        <v>35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25"/>
        <v/>
      </c>
      <c r="AB57" s="3" t="str">
        <f t="shared" si="26"/>
        <v/>
      </c>
      <c r="AC57" s="3" t="str">
        <f t="shared" si="27"/>
        <v/>
      </c>
      <c r="AD57" s="3" t="str">
        <f t="shared" si="28"/>
        <v>(0)</v>
      </c>
      <c r="AE57" s="3" t="str">
        <f t="shared" si="29"/>
        <v/>
      </c>
      <c r="AF57" s="3" t="str">
        <f t="shared" si="30"/>
        <v/>
      </c>
      <c r="AG57" s="3" t="str">
        <f t="shared" si="31"/>
        <v/>
      </c>
      <c r="AH57" s="3" t="str">
        <f t="shared" si="32"/>
        <v/>
      </c>
    </row>
    <row r="58" spans="2:34" x14ac:dyDescent="0.25">
      <c r="B58" s="3" t="s">
        <v>193</v>
      </c>
      <c r="C58" s="3" t="s">
        <v>244</v>
      </c>
      <c r="D58" s="3" t="s">
        <v>1</v>
      </c>
      <c r="E58" s="3" t="s">
        <v>334</v>
      </c>
      <c r="F58" s="3" t="s">
        <v>272</v>
      </c>
      <c r="G58" s="3" t="s">
        <v>260</v>
      </c>
      <c r="H58" s="3" t="s">
        <v>322</v>
      </c>
      <c r="I58" s="3" t="s">
        <v>41</v>
      </c>
      <c r="J58" s="3">
        <v>1</v>
      </c>
      <c r="K58" s="9" t="s">
        <v>81</v>
      </c>
      <c r="L58" s="3" t="s">
        <v>40</v>
      </c>
      <c r="M58" s="3" t="s">
        <v>337</v>
      </c>
      <c r="N58" s="3" t="s">
        <v>387</v>
      </c>
      <c r="O58" s="3" t="s">
        <v>396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24"/>
        <v>54</v>
      </c>
      <c r="V58" s="3" t="str">
        <f t="shared" si="1"/>
        <v>36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193</v>
      </c>
      <c r="C59" s="3" t="s">
        <v>245</v>
      </c>
      <c r="D59" s="3" t="s">
        <v>1</v>
      </c>
      <c r="E59" s="3" t="s">
        <v>334</v>
      </c>
      <c r="F59" s="3" t="s">
        <v>272</v>
      </c>
      <c r="G59" s="3" t="s">
        <v>260</v>
      </c>
      <c r="H59" s="3" t="s">
        <v>323</v>
      </c>
      <c r="I59" s="3" t="s">
        <v>41</v>
      </c>
      <c r="J59" s="3">
        <v>1</v>
      </c>
      <c r="K59" s="9" t="s">
        <v>81</v>
      </c>
      <c r="L59" s="3" t="s">
        <v>40</v>
      </c>
      <c r="M59" s="3" t="s">
        <v>337</v>
      </c>
      <c r="N59" s="3" t="s">
        <v>387</v>
      </c>
      <c r="O59" s="3" t="s">
        <v>397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24"/>
        <v>55</v>
      </c>
      <c r="V59" s="3" t="str">
        <f t="shared" si="1"/>
        <v>37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193</v>
      </c>
      <c r="C60" s="3" t="s">
        <v>246</v>
      </c>
      <c r="D60" s="3" t="s">
        <v>1</v>
      </c>
      <c r="E60" s="3" t="s">
        <v>334</v>
      </c>
      <c r="F60" s="3" t="s">
        <v>272</v>
      </c>
      <c r="G60" s="3" t="s">
        <v>260</v>
      </c>
      <c r="H60" s="3" t="s">
        <v>324</v>
      </c>
      <c r="I60" s="3" t="s">
        <v>41</v>
      </c>
      <c r="J60" s="3">
        <v>1</v>
      </c>
      <c r="K60" s="9" t="s">
        <v>81</v>
      </c>
      <c r="L60" s="3" t="s">
        <v>40</v>
      </c>
      <c r="M60" s="3" t="s">
        <v>337</v>
      </c>
      <c r="N60" s="3" t="s">
        <v>387</v>
      </c>
      <c r="O60" s="3" t="s">
        <v>398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24"/>
        <v>56</v>
      </c>
      <c r="V60" s="3" t="str">
        <f t="shared" si="1"/>
        <v>38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193</v>
      </c>
      <c r="C61" s="3" t="s">
        <v>247</v>
      </c>
      <c r="D61" s="3" t="s">
        <v>1</v>
      </c>
      <c r="E61" s="3" t="s">
        <v>334</v>
      </c>
      <c r="F61" s="3" t="s">
        <v>272</v>
      </c>
      <c r="G61" s="3" t="s">
        <v>260</v>
      </c>
      <c r="H61" s="3" t="s">
        <v>325</v>
      </c>
      <c r="I61" s="3" t="s">
        <v>41</v>
      </c>
      <c r="J61" s="3">
        <v>1</v>
      </c>
      <c r="K61" s="9" t="s">
        <v>81</v>
      </c>
      <c r="L61" s="3" t="s">
        <v>40</v>
      </c>
      <c r="M61" s="3" t="s">
        <v>337</v>
      </c>
      <c r="N61" s="3" t="s">
        <v>387</v>
      </c>
      <c r="O61" s="3" t="s">
        <v>399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24"/>
        <v>57</v>
      </c>
      <c r="V61" s="3" t="str">
        <f t="shared" si="1"/>
        <v>39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5"/>
        <v/>
      </c>
      <c r="AB61" s="3" t="str">
        <f t="shared" si="26"/>
        <v/>
      </c>
      <c r="AC61" s="3" t="str">
        <f t="shared" si="27"/>
        <v/>
      </c>
      <c r="AD61" s="3" t="str">
        <f t="shared" si="28"/>
        <v>(0)</v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955</v>
      </c>
      <c r="C62" s="3" t="s">
        <v>956</v>
      </c>
      <c r="D62" s="3" t="s">
        <v>1</v>
      </c>
      <c r="E62" s="3" t="s">
        <v>334</v>
      </c>
      <c r="F62" s="3" t="s">
        <v>957</v>
      </c>
      <c r="G62" s="3" t="s">
        <v>958</v>
      </c>
      <c r="H62" s="3" t="s">
        <v>959</v>
      </c>
      <c r="I62" s="3" t="s">
        <v>41</v>
      </c>
      <c r="J62" s="3">
        <v>1</v>
      </c>
      <c r="K62" s="9" t="s">
        <v>81</v>
      </c>
      <c r="L62" s="3" t="s">
        <v>40</v>
      </c>
      <c r="M62" s="3" t="s">
        <v>337</v>
      </c>
      <c r="N62" s="3" t="s">
        <v>960</v>
      </c>
      <c r="O62" s="3" t="s">
        <v>961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24"/>
        <v>58</v>
      </c>
      <c r="V62" s="3" t="str">
        <f t="shared" si="1"/>
        <v>3A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955</v>
      </c>
      <c r="C63" s="3" t="s">
        <v>962</v>
      </c>
      <c r="D63" s="3" t="s">
        <v>1</v>
      </c>
      <c r="E63" s="3" t="s">
        <v>334</v>
      </c>
      <c r="F63" s="3" t="s">
        <v>957</v>
      </c>
      <c r="G63" s="3" t="s">
        <v>958</v>
      </c>
      <c r="H63" s="3" t="s">
        <v>963</v>
      </c>
      <c r="I63" s="3" t="s">
        <v>41</v>
      </c>
      <c r="J63" s="3">
        <v>1</v>
      </c>
      <c r="K63" s="9" t="s">
        <v>81</v>
      </c>
      <c r="L63" s="3" t="s">
        <v>40</v>
      </c>
      <c r="M63" s="3" t="s">
        <v>337</v>
      </c>
      <c r="N63" s="3" t="s">
        <v>960</v>
      </c>
      <c r="O63" s="3" t="s">
        <v>964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24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955</v>
      </c>
      <c r="C64" s="3" t="s">
        <v>965</v>
      </c>
      <c r="D64" s="3" t="s">
        <v>1</v>
      </c>
      <c r="E64" s="3" t="s">
        <v>334</v>
      </c>
      <c r="F64" s="3" t="s">
        <v>957</v>
      </c>
      <c r="G64" s="3" t="s">
        <v>958</v>
      </c>
      <c r="H64" s="3" t="s">
        <v>966</v>
      </c>
      <c r="I64" s="3" t="s">
        <v>41</v>
      </c>
      <c r="J64" s="3">
        <v>1</v>
      </c>
      <c r="K64" s="9" t="s">
        <v>81</v>
      </c>
      <c r="L64" s="3" t="s">
        <v>40</v>
      </c>
      <c r="M64" s="3" t="s">
        <v>337</v>
      </c>
      <c r="N64" s="3" t="s">
        <v>960</v>
      </c>
      <c r="O64" s="3" t="s">
        <v>967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24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1:34" x14ac:dyDescent="0.25">
      <c r="B65" s="3" t="s">
        <v>955</v>
      </c>
      <c r="C65" s="3" t="s">
        <v>968</v>
      </c>
      <c r="D65" s="3" t="s">
        <v>1</v>
      </c>
      <c r="E65" s="3" t="s">
        <v>334</v>
      </c>
      <c r="F65" s="3" t="s">
        <v>957</v>
      </c>
      <c r="G65" s="3" t="s">
        <v>958</v>
      </c>
      <c r="H65" s="3" t="s">
        <v>969</v>
      </c>
      <c r="I65" s="3" t="s">
        <v>41</v>
      </c>
      <c r="J65" s="3">
        <v>1</v>
      </c>
      <c r="K65" s="9" t="s">
        <v>81</v>
      </c>
      <c r="L65" s="3" t="s">
        <v>40</v>
      </c>
      <c r="M65" s="3" t="s">
        <v>337</v>
      </c>
      <c r="N65" s="3" t="s">
        <v>960</v>
      </c>
      <c r="O65" s="3" t="s">
        <v>970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24"/>
        <v>61</v>
      </c>
      <c r="V65" s="3" t="str">
        <f t="shared" si="1"/>
        <v>3D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1:34" x14ac:dyDescent="0.25">
      <c r="B66" s="3" t="s">
        <v>971</v>
      </c>
      <c r="C66" s="3" t="s">
        <v>972</v>
      </c>
      <c r="D66" s="3" t="s">
        <v>0</v>
      </c>
      <c r="E66" s="3" t="s">
        <v>335</v>
      </c>
      <c r="F66" s="3" t="s">
        <v>973</v>
      </c>
      <c r="G66" s="3" t="s">
        <v>974</v>
      </c>
      <c r="H66" s="3" t="s">
        <v>975</v>
      </c>
      <c r="I66" s="3" t="s">
        <v>41</v>
      </c>
      <c r="J66" s="3">
        <v>1</v>
      </c>
      <c r="K66" s="9" t="s">
        <v>40</v>
      </c>
      <c r="L66" s="3" t="s">
        <v>40</v>
      </c>
      <c r="M66" s="3" t="s">
        <v>337</v>
      </c>
      <c r="N66" s="3" t="s">
        <v>976</v>
      </c>
      <c r="O66" s="3" t="s">
        <v>977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24"/>
        <v>62</v>
      </c>
      <c r="V66" s="3" t="str">
        <f t="shared" si="1"/>
        <v>3E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1:34" x14ac:dyDescent="0.25">
      <c r="B67" s="3" t="s">
        <v>971</v>
      </c>
      <c r="C67" s="3" t="s">
        <v>978</v>
      </c>
      <c r="D67" s="3" t="s">
        <v>0</v>
      </c>
      <c r="E67" s="3" t="s">
        <v>335</v>
      </c>
      <c r="F67" s="3" t="s">
        <v>973</v>
      </c>
      <c r="G67" s="3" t="s">
        <v>974</v>
      </c>
      <c r="H67" s="3" t="s">
        <v>979</v>
      </c>
      <c r="I67" s="3" t="s">
        <v>41</v>
      </c>
      <c r="J67" s="3">
        <v>1</v>
      </c>
      <c r="K67" s="9" t="s">
        <v>40</v>
      </c>
      <c r="L67" s="3" t="s">
        <v>40</v>
      </c>
      <c r="M67" s="3" t="s">
        <v>337</v>
      </c>
      <c r="N67" s="3" t="s">
        <v>976</v>
      </c>
      <c r="O67" s="3" t="s">
        <v>980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24"/>
        <v>63</v>
      </c>
      <c r="V67" s="3" t="str">
        <f t="shared" si="1"/>
        <v>3F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1:34" x14ac:dyDescent="0.25">
      <c r="B68" s="3" t="s">
        <v>194</v>
      </c>
      <c r="C68" s="3" t="s">
        <v>248</v>
      </c>
      <c r="D68" s="3" t="s">
        <v>0</v>
      </c>
      <c r="E68" s="3" t="s">
        <v>335</v>
      </c>
      <c r="F68" s="3" t="s">
        <v>273</v>
      </c>
      <c r="G68" s="3" t="s">
        <v>261</v>
      </c>
      <c r="H68" s="3" t="s">
        <v>326</v>
      </c>
      <c r="I68" s="3" t="s">
        <v>41</v>
      </c>
      <c r="J68" s="3">
        <v>32</v>
      </c>
      <c r="K68" s="3" t="s">
        <v>40</v>
      </c>
      <c r="L68" s="3" t="s">
        <v>40</v>
      </c>
      <c r="M68" s="3" t="s">
        <v>337</v>
      </c>
      <c r="N68" s="3" t="s">
        <v>400</v>
      </c>
      <c r="O68" s="3" t="s">
        <v>401</v>
      </c>
      <c r="P68" s="3" t="s">
        <v>48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ref="T68:T69" si="33">DEC2HEX($S68,3)</f>
        <v>100</v>
      </c>
      <c r="U68" s="3">
        <f t="shared" si="24"/>
        <v>64</v>
      </c>
      <c r="V68" s="3" t="str">
        <f t="shared" ref="V68:V69" si="34">DEC2HEX($U68,2)</f>
        <v>40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25"/>
        <v>(31 downto 24)</v>
      </c>
      <c r="AB68" s="3" t="str">
        <f t="shared" si="26"/>
        <v>(23 downto 16)</v>
      </c>
      <c r="AC68" s="3" t="str">
        <f t="shared" si="27"/>
        <v>(15 downto 8)</v>
      </c>
      <c r="AD68" s="3" t="str">
        <f t="shared" si="28"/>
        <v>(7 downto 0)</v>
      </c>
      <c r="AE68" s="3" t="str">
        <f t="shared" si="29"/>
        <v>(31 downto 24)</v>
      </c>
      <c r="AF68" s="3" t="str">
        <f t="shared" si="30"/>
        <v>(23 downto 16)</v>
      </c>
      <c r="AG68" s="3" t="str">
        <f t="shared" si="31"/>
        <v>(15 downto 8)</v>
      </c>
      <c r="AH68" s="3" t="str">
        <f t="shared" si="32"/>
        <v>(7 downto 0)</v>
      </c>
    </row>
    <row r="69" spans="1:34" x14ac:dyDescent="0.25">
      <c r="B69" s="3" t="s">
        <v>194</v>
      </c>
      <c r="C69" s="3" t="s">
        <v>249</v>
      </c>
      <c r="D69" s="3" t="s">
        <v>0</v>
      </c>
      <c r="E69" s="3" t="s">
        <v>335</v>
      </c>
      <c r="F69" s="3" t="s">
        <v>273</v>
      </c>
      <c r="G69" s="3" t="s">
        <v>261</v>
      </c>
      <c r="H69" s="3" t="s">
        <v>327</v>
      </c>
      <c r="I69" s="3" t="s">
        <v>41</v>
      </c>
      <c r="J69" s="3">
        <v>32</v>
      </c>
      <c r="K69" s="3" t="s">
        <v>40</v>
      </c>
      <c r="L69" s="3" t="s">
        <v>40</v>
      </c>
      <c r="M69" s="3" t="s">
        <v>337</v>
      </c>
      <c r="N69" s="3" t="s">
        <v>400</v>
      </c>
      <c r="O69" s="3" t="s">
        <v>402</v>
      </c>
      <c r="P69" s="3" t="s">
        <v>48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si="33"/>
        <v>104</v>
      </c>
      <c r="U69" s="3">
        <f t="shared" si="24"/>
        <v>65</v>
      </c>
      <c r="V69" s="3" t="str">
        <f t="shared" si="34"/>
        <v>41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25"/>
        <v>(31 downto 24)</v>
      </c>
      <c r="AB69" s="3" t="str">
        <f t="shared" si="26"/>
        <v>(23 downto 16)</v>
      </c>
      <c r="AC69" s="3" t="str">
        <f t="shared" si="27"/>
        <v>(15 downto 8)</v>
      </c>
      <c r="AD69" s="3" t="str">
        <f t="shared" si="28"/>
        <v>(7 downto 0)</v>
      </c>
      <c r="AE69" s="3" t="str">
        <f t="shared" si="29"/>
        <v>(31 downto 24)</v>
      </c>
      <c r="AF69" s="3" t="str">
        <f t="shared" si="30"/>
        <v>(23 downto 16)</v>
      </c>
      <c r="AG69" s="3" t="str">
        <f t="shared" si="31"/>
        <v>(15 downto 8)</v>
      </c>
      <c r="AH69" s="3" t="str">
        <f t="shared" si="32"/>
        <v>(7 downto 0)</v>
      </c>
    </row>
    <row r="70" spans="1:34" x14ac:dyDescent="0.25">
      <c r="K70" s="9"/>
      <c r="L70" s="9"/>
      <c r="AA70" s="3"/>
      <c r="AB70" s="3"/>
      <c r="AC70" s="3"/>
      <c r="AD70" s="3"/>
      <c r="AE70" s="3"/>
      <c r="AF70" s="3"/>
      <c r="AG70" s="3"/>
      <c r="AH70" s="3"/>
    </row>
    <row r="71" spans="1:34" x14ac:dyDescent="0.25">
      <c r="K71" s="9"/>
      <c r="L71" s="9"/>
      <c r="AA71" s="3"/>
      <c r="AB71" s="3"/>
      <c r="AC71" s="3"/>
      <c r="AD71" s="3"/>
      <c r="AE71" s="3"/>
      <c r="AF71" s="3"/>
      <c r="AG71" s="3"/>
      <c r="AH71" s="3"/>
    </row>
    <row r="72" spans="1:34" x14ac:dyDescent="0.25">
      <c r="A72" s="18"/>
      <c r="K72" s="9"/>
      <c r="L72" s="9"/>
      <c r="AA72" s="3"/>
      <c r="AB72" s="3"/>
      <c r="AC72" s="3"/>
      <c r="AD72" s="3"/>
      <c r="AE72" s="3"/>
      <c r="AF72" s="3"/>
      <c r="AG72" s="3"/>
      <c r="AH72" s="3"/>
    </row>
    <row r="73" spans="1:34" x14ac:dyDescent="0.25">
      <c r="K73" s="9"/>
      <c r="L73" s="9"/>
      <c r="AA73" s="3"/>
      <c r="AB73" s="3"/>
      <c r="AC73" s="3"/>
      <c r="AD73" s="3"/>
      <c r="AE73" s="3"/>
      <c r="AF73" s="3"/>
      <c r="AG73" s="3"/>
      <c r="AH73" s="3"/>
    </row>
    <row r="74" spans="1:34" x14ac:dyDescent="0.25">
      <c r="K74" s="9"/>
      <c r="L74" s="9"/>
      <c r="AA74" s="3"/>
      <c r="AB74" s="3"/>
      <c r="AC74" s="3"/>
      <c r="AD74" s="3"/>
      <c r="AE74" s="3"/>
      <c r="AF74" s="3"/>
      <c r="AG74" s="3"/>
      <c r="AH74" s="3"/>
    </row>
    <row r="75" spans="1:34" x14ac:dyDescent="0.25">
      <c r="K75" s="9"/>
      <c r="L75" s="9"/>
      <c r="AA75" s="3"/>
      <c r="AB75" s="3"/>
      <c r="AC75" s="3"/>
      <c r="AD75" s="3"/>
      <c r="AE75" s="3"/>
      <c r="AF75" s="3"/>
      <c r="AG75" s="3"/>
      <c r="AH75" s="3"/>
    </row>
    <row r="76" spans="1:34" x14ac:dyDescent="0.25">
      <c r="K76" s="9"/>
      <c r="L76" s="9"/>
      <c r="AA76" s="3"/>
      <c r="AB76" s="3"/>
      <c r="AC76" s="3"/>
      <c r="AD76" s="3"/>
      <c r="AE76" s="3"/>
      <c r="AF76" s="3"/>
      <c r="AG76" s="3"/>
      <c r="AH76" s="3"/>
    </row>
    <row r="77" spans="1:34" x14ac:dyDescent="0.25">
      <c r="K77" s="9"/>
      <c r="L77" s="9"/>
      <c r="AA77" s="3"/>
      <c r="AB77" s="3"/>
      <c r="AC77" s="3"/>
      <c r="AD77" s="3"/>
      <c r="AE77" s="3"/>
      <c r="AF77" s="3"/>
      <c r="AG77" s="3"/>
      <c r="AH77" s="3"/>
    </row>
    <row r="78" spans="1:34" x14ac:dyDescent="0.25">
      <c r="K78" s="9"/>
      <c r="L78" s="9"/>
      <c r="AA78" s="3"/>
      <c r="AB78" s="3"/>
      <c r="AC78" s="3"/>
      <c r="AD78" s="3"/>
      <c r="AE78" s="3"/>
      <c r="AF78" s="3"/>
      <c r="AG78" s="3"/>
      <c r="AH78" s="3"/>
    </row>
    <row r="79" spans="1:34" x14ac:dyDescent="0.25">
      <c r="K79" s="9"/>
      <c r="L79" s="9"/>
      <c r="AA79" s="3"/>
      <c r="AB79" s="3"/>
      <c r="AC79" s="3"/>
      <c r="AD79" s="3"/>
      <c r="AE79" s="3"/>
      <c r="AF79" s="3"/>
      <c r="AG79" s="3"/>
      <c r="AH79" s="3"/>
    </row>
    <row r="80" spans="1:34" x14ac:dyDescent="0.25">
      <c r="K80" s="9"/>
      <c r="L80" s="9"/>
      <c r="AA80" s="3"/>
      <c r="AB80" s="3"/>
      <c r="AC80" s="3"/>
      <c r="AD80" s="3"/>
      <c r="AE80" s="3"/>
      <c r="AF80" s="3"/>
      <c r="AG80" s="3"/>
      <c r="AH80" s="3"/>
    </row>
    <row r="81" spans="2:38" x14ac:dyDescent="0.25">
      <c r="K81" s="9"/>
      <c r="L81" s="9"/>
      <c r="AA81" s="3"/>
      <c r="AB81" s="3"/>
      <c r="AC81" s="3"/>
      <c r="AD81" s="3"/>
      <c r="AE81" s="3"/>
      <c r="AF81" s="3"/>
      <c r="AG81" s="3"/>
      <c r="AH81" s="3"/>
    </row>
    <row r="82" spans="2:38" x14ac:dyDescent="0.25">
      <c r="K82" s="9"/>
      <c r="L82" s="9"/>
      <c r="AA82" s="3"/>
      <c r="AB82" s="3"/>
      <c r="AC82" s="3"/>
      <c r="AD82" s="3"/>
      <c r="AE82" s="3"/>
      <c r="AF82" s="3"/>
      <c r="AG82" s="3"/>
      <c r="AH82" s="3"/>
    </row>
    <row r="83" spans="2:38" x14ac:dyDescent="0.25">
      <c r="K83" s="9"/>
      <c r="L83" s="9"/>
      <c r="AA83" s="3"/>
      <c r="AB83" s="3"/>
      <c r="AC83" s="3"/>
      <c r="AD83" s="3"/>
      <c r="AE83" s="3"/>
      <c r="AF83" s="3"/>
      <c r="AG83" s="3"/>
      <c r="AH83" s="3"/>
    </row>
    <row r="84" spans="2:38" x14ac:dyDescent="0.25">
      <c r="K84" s="9"/>
      <c r="L84" s="9"/>
      <c r="AA84" s="3"/>
      <c r="AB84" s="3"/>
      <c r="AC84" s="3"/>
      <c r="AD84" s="3"/>
      <c r="AE84" s="3"/>
      <c r="AF84" s="3"/>
      <c r="AG84" s="3"/>
      <c r="AH84" s="3"/>
    </row>
    <row r="85" spans="2:38" x14ac:dyDescent="0.25">
      <c r="K85" s="9"/>
      <c r="L85" s="9"/>
      <c r="AA85" s="3"/>
      <c r="AB85" s="3"/>
      <c r="AC85" s="3"/>
      <c r="AD85" s="3"/>
      <c r="AE85" s="3"/>
      <c r="AF85" s="3"/>
      <c r="AG85" s="3"/>
      <c r="AH85" s="3"/>
    </row>
    <row r="86" spans="2:38" x14ac:dyDescent="0.25">
      <c r="K86" s="9"/>
      <c r="L86" s="9"/>
      <c r="AA86" s="3"/>
      <c r="AB86" s="3"/>
      <c r="AC86" s="3"/>
      <c r="AD86" s="3"/>
      <c r="AE86" s="3"/>
      <c r="AF86" s="3"/>
      <c r="AG86" s="3"/>
      <c r="AH86" s="3"/>
    </row>
    <row r="87" spans="2:38" x14ac:dyDescent="0.25">
      <c r="K87" s="9"/>
      <c r="L87" s="9"/>
      <c r="AA87" s="3"/>
      <c r="AB87" s="3"/>
      <c r="AC87" s="3"/>
      <c r="AD87" s="3"/>
      <c r="AE87" s="3"/>
      <c r="AF87" s="3"/>
      <c r="AG87" s="3"/>
      <c r="AH87" s="3"/>
    </row>
    <row r="88" spans="2:38" x14ac:dyDescent="0.25">
      <c r="K88" s="9"/>
      <c r="L88" s="9"/>
      <c r="AA88" s="3"/>
      <c r="AB88" s="3"/>
      <c r="AC88" s="3"/>
      <c r="AD88" s="3"/>
      <c r="AE88" s="3"/>
      <c r="AF88" s="3"/>
      <c r="AG88" s="3"/>
      <c r="AH88" s="3"/>
    </row>
    <row r="89" spans="2:38" x14ac:dyDescent="0.25">
      <c r="K89" s="9"/>
      <c r="L89" s="9"/>
      <c r="AA89" s="3"/>
      <c r="AB89" s="3"/>
      <c r="AC89" s="3"/>
      <c r="AD89" s="3"/>
      <c r="AE89" s="3"/>
      <c r="AF89" s="3"/>
      <c r="AG89" s="3"/>
      <c r="AH89" s="3"/>
    </row>
    <row r="90" spans="2:38" x14ac:dyDescent="0.25">
      <c r="K90" s="9"/>
      <c r="L90" s="9"/>
      <c r="AA90" s="3"/>
      <c r="AB90" s="3"/>
      <c r="AC90" s="3"/>
      <c r="AD90" s="3"/>
      <c r="AE90" s="3"/>
      <c r="AF90" s="3"/>
      <c r="AG90" s="3"/>
      <c r="AH90" s="3"/>
    </row>
    <row r="91" spans="2:38" x14ac:dyDescent="0.25">
      <c r="K91" s="9"/>
      <c r="L91" s="9"/>
      <c r="AA91" s="3"/>
      <c r="AB91" s="3"/>
      <c r="AC91" s="3"/>
      <c r="AD91" s="3"/>
      <c r="AE91" s="3"/>
      <c r="AF91" s="3"/>
      <c r="AG91" s="3"/>
      <c r="AH91" s="3"/>
    </row>
    <row r="92" spans="2:38" x14ac:dyDescent="0.25">
      <c r="K92" s="9"/>
      <c r="L92" s="9"/>
      <c r="AA92" s="3"/>
      <c r="AB92" s="3"/>
      <c r="AC92" s="3"/>
      <c r="AD92" s="3"/>
      <c r="AE92" s="3"/>
      <c r="AF92" s="3"/>
      <c r="AG92" s="3"/>
      <c r="AH92" s="3"/>
      <c r="AI92" s="8"/>
      <c r="AJ92" s="8"/>
      <c r="AK92" s="8"/>
      <c r="AL92" s="8"/>
    </row>
    <row r="93" spans="2:38" x14ac:dyDescent="0.25">
      <c r="K93" s="9"/>
      <c r="L93" s="9"/>
      <c r="AA93" s="3"/>
      <c r="AB93" s="3"/>
      <c r="AC93" s="3"/>
      <c r="AD93" s="3"/>
      <c r="AE93" s="3"/>
      <c r="AF93" s="3"/>
      <c r="AG93" s="3"/>
      <c r="AH93" s="3"/>
    </row>
    <row r="94" spans="2:38" s="18" customFormat="1" x14ac:dyDescent="0.25">
      <c r="B94" s="10"/>
      <c r="C94" s="10"/>
      <c r="D94" s="3"/>
      <c r="E94" s="3"/>
      <c r="F94" s="10"/>
      <c r="G94" s="3"/>
      <c r="H94" s="10"/>
      <c r="I94" s="3"/>
      <c r="J94" s="3"/>
      <c r="K94" s="30"/>
      <c r="L94" s="9"/>
      <c r="M94" s="3"/>
      <c r="N94" s="3"/>
      <c r="O94" s="10"/>
      <c r="P94" s="10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</row>
    <row r="95" spans="2:38" x14ac:dyDescent="0.25">
      <c r="B95" s="10"/>
      <c r="C95" s="10"/>
      <c r="F95" s="10"/>
      <c r="K95" s="30"/>
      <c r="L95" s="9"/>
      <c r="P95" s="10"/>
      <c r="AA95" s="3"/>
      <c r="AB95" s="3"/>
      <c r="AC95" s="3"/>
      <c r="AD95" s="3"/>
      <c r="AE95" s="3"/>
      <c r="AF95" s="3"/>
      <c r="AG95" s="3"/>
      <c r="AH95" s="3"/>
    </row>
    <row r="96" spans="2:38" x14ac:dyDescent="0.25">
      <c r="B96" s="10"/>
      <c r="C96" s="10"/>
      <c r="F96" s="10"/>
      <c r="K96" s="30"/>
      <c r="L96" s="9"/>
      <c r="P96" s="10"/>
      <c r="AA96" s="3"/>
      <c r="AB96" s="3"/>
      <c r="AC96" s="3"/>
      <c r="AD96" s="3"/>
      <c r="AE96" s="3"/>
      <c r="AF96" s="3"/>
      <c r="AG96" s="3"/>
      <c r="AH96" s="3"/>
    </row>
    <row r="97" spans="2:34" x14ac:dyDescent="0.25">
      <c r="B97" s="10"/>
      <c r="C97" s="10"/>
      <c r="F97" s="10"/>
      <c r="K97" s="9"/>
      <c r="L97" s="9"/>
      <c r="AA97" s="3"/>
      <c r="AB97" s="3"/>
      <c r="AC97" s="3"/>
      <c r="AD97" s="3"/>
      <c r="AE97" s="3"/>
      <c r="AF97" s="3"/>
      <c r="AG97" s="3"/>
      <c r="AH97" s="3"/>
    </row>
    <row r="98" spans="2:34" x14ac:dyDescent="0.25">
      <c r="B98" s="10"/>
      <c r="C98" s="10"/>
      <c r="F98" s="10"/>
      <c r="K98" s="9"/>
      <c r="L98" s="9"/>
      <c r="AA98" s="3"/>
      <c r="AB98" s="3"/>
      <c r="AC98" s="3"/>
      <c r="AD98" s="3"/>
      <c r="AE98" s="3"/>
      <c r="AF98" s="3"/>
      <c r="AG98" s="3"/>
      <c r="AH98" s="3"/>
    </row>
    <row r="99" spans="2:34" x14ac:dyDescent="0.25">
      <c r="B99" s="10"/>
      <c r="C99" s="10"/>
      <c r="F99" s="10"/>
      <c r="K99" s="9"/>
      <c r="L99" s="9"/>
      <c r="AA99" s="3"/>
      <c r="AB99" s="3"/>
      <c r="AC99" s="3"/>
      <c r="AD99" s="3"/>
      <c r="AE99" s="3"/>
      <c r="AF99" s="3"/>
      <c r="AG99" s="3"/>
      <c r="AH99" s="3"/>
    </row>
    <row r="100" spans="2:34" x14ac:dyDescent="0.25">
      <c r="B100" s="10"/>
      <c r="C100" s="10"/>
      <c r="F100" s="10"/>
      <c r="K100" s="9"/>
      <c r="L100" s="9"/>
      <c r="AA100" s="3"/>
      <c r="AB100" s="3"/>
      <c r="AC100" s="3"/>
      <c r="AD100" s="3"/>
      <c r="AE100" s="3"/>
      <c r="AF100" s="3"/>
      <c r="AG100" s="3"/>
      <c r="AH100" s="3"/>
    </row>
    <row r="101" spans="2:34" x14ac:dyDescent="0.25">
      <c r="L101" s="9"/>
      <c r="AA101" s="3"/>
      <c r="AB101" s="3"/>
      <c r="AC101" s="3"/>
      <c r="AD101" s="3"/>
      <c r="AE101" s="3"/>
      <c r="AF101" s="3"/>
      <c r="AG101" s="3"/>
      <c r="AH101" s="3"/>
    </row>
    <row r="102" spans="2:34" x14ac:dyDescent="0.25">
      <c r="L102" s="9"/>
      <c r="AA102" s="3"/>
      <c r="AB102" s="3"/>
      <c r="AC102" s="3"/>
      <c r="AD102" s="3"/>
      <c r="AE102" s="3"/>
      <c r="AF102" s="3"/>
      <c r="AG102" s="3"/>
      <c r="AH102" s="3"/>
    </row>
    <row r="103" spans="2:34" x14ac:dyDescent="0.25">
      <c r="L103" s="9"/>
      <c r="AA103" s="3"/>
      <c r="AB103" s="3"/>
      <c r="AC103" s="3"/>
      <c r="AD103" s="3"/>
      <c r="AE103" s="3"/>
      <c r="AF103" s="3"/>
      <c r="AG103" s="3"/>
      <c r="AH103" s="3"/>
    </row>
    <row r="104" spans="2:34" x14ac:dyDescent="0.25">
      <c r="L104" s="9"/>
      <c r="AA104" s="3"/>
      <c r="AB104" s="3"/>
      <c r="AC104" s="3"/>
      <c r="AD104" s="3"/>
      <c r="AE104" s="3"/>
      <c r="AF104" s="3"/>
      <c r="AG104" s="3"/>
      <c r="AH104" s="3"/>
    </row>
    <row r="105" spans="2:34" x14ac:dyDescent="0.25">
      <c r="L105" s="9"/>
      <c r="AA105" s="3"/>
      <c r="AB105" s="3"/>
      <c r="AC105" s="3"/>
      <c r="AD105" s="3"/>
      <c r="AE105" s="3"/>
      <c r="AF105" s="3"/>
      <c r="AG105" s="3"/>
      <c r="AH105" s="3"/>
    </row>
    <row r="106" spans="2:34" x14ac:dyDescent="0.25">
      <c r="L106" s="9"/>
      <c r="AA106" s="3"/>
      <c r="AB106" s="3"/>
      <c r="AC106" s="3"/>
      <c r="AD106" s="3"/>
      <c r="AE106" s="3"/>
      <c r="AF106" s="3"/>
      <c r="AG106" s="3"/>
      <c r="AH106" s="3"/>
    </row>
    <row r="107" spans="2:34" x14ac:dyDescent="0.25">
      <c r="L107" s="9"/>
      <c r="AA107" s="3"/>
      <c r="AB107" s="3"/>
      <c r="AC107" s="3"/>
      <c r="AD107" s="3"/>
      <c r="AE107" s="3"/>
      <c r="AF107" s="3"/>
      <c r="AG107" s="3"/>
      <c r="AH107" s="3"/>
    </row>
    <row r="108" spans="2:34" x14ac:dyDescent="0.25">
      <c r="L108" s="9"/>
      <c r="AA108" s="3"/>
      <c r="AB108" s="3"/>
      <c r="AC108" s="3"/>
      <c r="AD108" s="3"/>
      <c r="AE108" s="3"/>
      <c r="AF108" s="3"/>
      <c r="AG108" s="3"/>
      <c r="AH108" s="3"/>
    </row>
    <row r="109" spans="2:34" x14ac:dyDescent="0.25">
      <c r="L109" s="9"/>
      <c r="AA109" s="3"/>
      <c r="AB109" s="3"/>
      <c r="AC109" s="3"/>
      <c r="AD109" s="3"/>
      <c r="AE109" s="3"/>
      <c r="AF109" s="3"/>
      <c r="AG109" s="3"/>
      <c r="AH109" s="3"/>
    </row>
    <row r="110" spans="2:34" x14ac:dyDescent="0.25">
      <c r="L110" s="9"/>
      <c r="AA110" s="3"/>
      <c r="AB110" s="3"/>
      <c r="AC110" s="3"/>
      <c r="AD110" s="3"/>
      <c r="AE110" s="3"/>
      <c r="AF110" s="3"/>
      <c r="AG110" s="3"/>
      <c r="AH110" s="3"/>
    </row>
    <row r="111" spans="2:34" x14ac:dyDescent="0.25">
      <c r="L111" s="9"/>
      <c r="AA111" s="3"/>
      <c r="AB111" s="3"/>
      <c r="AC111" s="3"/>
      <c r="AD111" s="3"/>
      <c r="AE111" s="3"/>
      <c r="AF111" s="3"/>
      <c r="AG111" s="3"/>
      <c r="AH111" s="3"/>
    </row>
    <row r="112" spans="2:34" x14ac:dyDescent="0.25">
      <c r="L112" s="9"/>
      <c r="AA112" s="3"/>
      <c r="AB112" s="3"/>
      <c r="AC112" s="3"/>
      <c r="AD112" s="3"/>
      <c r="AE112" s="3"/>
      <c r="AF112" s="3"/>
      <c r="AG112" s="3"/>
      <c r="AH112" s="3"/>
    </row>
    <row r="113" spans="12:34" x14ac:dyDescent="0.25">
      <c r="L113" s="9"/>
      <c r="AA113" s="3"/>
      <c r="AB113" s="3"/>
      <c r="AC113" s="3"/>
      <c r="AD113" s="3"/>
      <c r="AE113" s="3"/>
      <c r="AF113" s="3"/>
      <c r="AG113" s="3"/>
      <c r="AH113" s="3"/>
    </row>
    <row r="114" spans="12:34" x14ac:dyDescent="0.25">
      <c r="L114" s="9"/>
      <c r="AA114" s="3"/>
      <c r="AB114" s="3"/>
      <c r="AC114" s="3"/>
      <c r="AD114" s="3"/>
      <c r="AE114" s="3"/>
      <c r="AF114" s="3"/>
      <c r="AG114" s="3"/>
      <c r="AH114" s="3"/>
    </row>
    <row r="115" spans="12:34" x14ac:dyDescent="0.25">
      <c r="L115" s="9"/>
      <c r="AA115" s="3"/>
      <c r="AB115" s="3"/>
      <c r="AC115" s="3"/>
      <c r="AD115" s="3"/>
      <c r="AE115" s="3"/>
      <c r="AF115" s="3"/>
      <c r="AG115" s="3"/>
      <c r="AH115" s="3"/>
    </row>
    <row r="116" spans="12:34" x14ac:dyDescent="0.25">
      <c r="L116" s="9"/>
      <c r="AA116" s="3"/>
      <c r="AB116" s="3"/>
      <c r="AC116" s="3"/>
      <c r="AD116" s="3"/>
      <c r="AE116" s="3"/>
      <c r="AF116" s="3"/>
      <c r="AG116" s="3"/>
      <c r="AH116" s="3"/>
    </row>
    <row r="117" spans="12:34" x14ac:dyDescent="0.25">
      <c r="L117" s="9"/>
      <c r="AA117" s="3"/>
      <c r="AB117" s="3"/>
      <c r="AC117" s="3"/>
      <c r="AD117" s="3"/>
      <c r="AE117" s="3"/>
      <c r="AF117" s="3"/>
      <c r="AG117" s="3"/>
      <c r="AH117" s="3"/>
    </row>
    <row r="118" spans="12:34" x14ac:dyDescent="0.25">
      <c r="L118" s="9"/>
      <c r="AA118" s="3"/>
      <c r="AB118" s="3"/>
      <c r="AC118" s="3"/>
      <c r="AD118" s="3"/>
      <c r="AE118" s="3"/>
      <c r="AF118" s="3"/>
      <c r="AG118" s="3"/>
      <c r="AH118" s="3"/>
    </row>
    <row r="119" spans="12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12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12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12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12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12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12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12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12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12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ht="14.25" customHeight="1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</sheetData>
  <autoFilter ref="B3:AH69" xr:uid="{DEBDE5FA-A47F-48F4-A910-D72CA63F3CFF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50</v>
      </c>
      <c r="C2" s="31"/>
      <c r="D2" s="31"/>
      <c r="F2" s="31" t="s">
        <v>91</v>
      </c>
      <c r="G2" s="31"/>
      <c r="H2" s="17"/>
      <c r="I2" s="31" t="s">
        <v>85</v>
      </c>
      <c r="J2" s="31"/>
      <c r="K2" s="17"/>
      <c r="L2" s="31" t="s">
        <v>120</v>
      </c>
      <c r="M2" s="31"/>
      <c r="N2" s="31"/>
      <c r="O2" s="31"/>
      <c r="P2" s="31"/>
      <c r="Q2" s="31"/>
    </row>
    <row r="3" spans="2:17" x14ac:dyDescent="0.25">
      <c r="B3" s="6" t="s">
        <v>51</v>
      </c>
      <c r="C3" s="6" t="s">
        <v>52</v>
      </c>
      <c r="D3" s="6" t="s">
        <v>53</v>
      </c>
      <c r="F3" s="15" t="s">
        <v>51</v>
      </c>
      <c r="G3" s="15" t="s">
        <v>92</v>
      </c>
      <c r="H3" s="15"/>
      <c r="I3" s="14" t="s">
        <v>86</v>
      </c>
      <c r="J3" s="14" t="s">
        <v>87</v>
      </c>
      <c r="K3" s="19"/>
      <c r="L3" s="3" t="s">
        <v>40</v>
      </c>
      <c r="M3" s="3" t="s">
        <v>40</v>
      </c>
      <c r="N3" s="31" t="s">
        <v>121</v>
      </c>
      <c r="O3" s="31"/>
      <c r="P3" s="31"/>
      <c r="Q3" s="31"/>
    </row>
    <row r="4" spans="2:17" x14ac:dyDescent="0.25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93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8</v>
      </c>
      <c r="D5" s="3">
        <f t="shared" ref="D5:D28" si="0">C5/8</f>
        <v>1</v>
      </c>
      <c r="F5" s="3" t="s">
        <v>55</v>
      </c>
      <c r="G5" s="3" t="s">
        <v>93</v>
      </c>
      <c r="I5" s="3" t="str">
        <f>Main!$C$2</f>
        <v>Field Comment</v>
      </c>
      <c r="J5" s="3">
        <f>MATCH($I5,Main!$B$2:$AH$2,0)+1</f>
        <v>3</v>
      </c>
      <c r="L5" s="33" t="s">
        <v>119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93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94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94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94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96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96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96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95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95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95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97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97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97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98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98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98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99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67</v>
      </c>
      <c r="C23" s="3">
        <v>64</v>
      </c>
      <c r="D23" s="3">
        <f t="shared" si="0"/>
        <v>8</v>
      </c>
      <c r="F23" s="3" t="s">
        <v>67</v>
      </c>
      <c r="G23" s="3" t="s">
        <v>100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si="0"/>
        <v>8</v>
      </c>
      <c r="F24" s="3" t="s">
        <v>68</v>
      </c>
      <c r="G24" s="3" t="s">
        <v>100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0"/>
        <v>8</v>
      </c>
      <c r="F25" s="3" t="s">
        <v>69</v>
      </c>
      <c r="G25" s="3" t="s">
        <v>100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0"/>
        <v>8</v>
      </c>
      <c r="F26" s="3" t="s">
        <v>70</v>
      </c>
      <c r="G26" s="3" t="s">
        <v>101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0"/>
        <v>8</v>
      </c>
      <c r="F27" s="3" t="s">
        <v>71</v>
      </c>
      <c r="G27" s="3" t="s">
        <v>101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0"/>
        <v>8</v>
      </c>
      <c r="F28" s="3" t="s">
        <v>72</v>
      </c>
      <c r="G28" s="3" t="s">
        <v>101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56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109</v>
      </c>
      <c r="H2" s="1" t="s">
        <v>103</v>
      </c>
    </row>
    <row r="3" spans="2:8" x14ac:dyDescent="0.25">
      <c r="B3" s="3" t="s">
        <v>410</v>
      </c>
      <c r="H3" t="s">
        <v>111</v>
      </c>
    </row>
    <row r="5" spans="2:8" x14ac:dyDescent="0.25">
      <c r="B5" s="29" t="s">
        <v>110</v>
      </c>
      <c r="H5" t="s">
        <v>112</v>
      </c>
    </row>
    <row r="6" spans="2:8" x14ac:dyDescent="0.25">
      <c r="B6" s="3" t="s">
        <v>411</v>
      </c>
      <c r="H6" t="s">
        <v>419</v>
      </c>
    </row>
    <row r="7" spans="2:8" x14ac:dyDescent="0.25">
      <c r="H7" t="s">
        <v>981</v>
      </c>
    </row>
    <row r="8" spans="2:8" x14ac:dyDescent="0.25">
      <c r="B8" s="29" t="s">
        <v>108</v>
      </c>
    </row>
    <row r="9" spans="2:8" x14ac:dyDescent="0.25">
      <c r="B9" s="3">
        <v>256</v>
      </c>
      <c r="H9" t="s">
        <v>104</v>
      </c>
    </row>
    <row r="11" spans="2:8" x14ac:dyDescent="0.25">
      <c r="B11" s="29"/>
      <c r="H11" t="s">
        <v>420</v>
      </c>
    </row>
    <row r="12" spans="2:8" x14ac:dyDescent="0.25">
      <c r="H12" t="s">
        <v>421</v>
      </c>
    </row>
    <row r="13" spans="2:8" x14ac:dyDescent="0.25">
      <c r="H13" t="s">
        <v>422</v>
      </c>
    </row>
    <row r="14" spans="2:8" x14ac:dyDescent="0.25">
      <c r="B14" s="29"/>
      <c r="H14" t="s">
        <v>423</v>
      </c>
    </row>
    <row r="15" spans="2:8" x14ac:dyDescent="0.25">
      <c r="H15" t="s">
        <v>424</v>
      </c>
    </row>
    <row r="16" spans="2:8" x14ac:dyDescent="0.25">
      <c r="H16" t="s">
        <v>425</v>
      </c>
    </row>
    <row r="17" spans="2:8" x14ac:dyDescent="0.25">
      <c r="B17" s="29"/>
      <c r="H17" t="s">
        <v>426</v>
      </c>
    </row>
    <row r="19" spans="2:8" x14ac:dyDescent="0.25">
      <c r="H19" t="s">
        <v>427</v>
      </c>
    </row>
    <row r="20" spans="2:8" x14ac:dyDescent="0.25">
      <c r="B20" s="29"/>
      <c r="H20" t="s">
        <v>428</v>
      </c>
    </row>
    <row r="21" spans="2:8" x14ac:dyDescent="0.25">
      <c r="H21" t="s">
        <v>429</v>
      </c>
    </row>
    <row r="22" spans="2:8" x14ac:dyDescent="0.25">
      <c r="H22" t="s">
        <v>430</v>
      </c>
    </row>
    <row r="23" spans="2:8" x14ac:dyDescent="0.25">
      <c r="H23" t="s">
        <v>431</v>
      </c>
    </row>
    <row r="24" spans="2:8" x14ac:dyDescent="0.25">
      <c r="H24" t="s">
        <v>432</v>
      </c>
    </row>
    <row r="25" spans="2:8" x14ac:dyDescent="0.25">
      <c r="H25" t="s">
        <v>433</v>
      </c>
    </row>
    <row r="26" spans="2:8" x14ac:dyDescent="0.25">
      <c r="H26" t="s">
        <v>434</v>
      </c>
    </row>
    <row r="28" spans="2:8" x14ac:dyDescent="0.25">
      <c r="H28" t="s">
        <v>435</v>
      </c>
    </row>
    <row r="29" spans="2:8" x14ac:dyDescent="0.25">
      <c r="H29" t="s">
        <v>436</v>
      </c>
    </row>
    <row r="30" spans="2:8" x14ac:dyDescent="0.25">
      <c r="H30" t="s">
        <v>437</v>
      </c>
    </row>
    <row r="31" spans="2:8" x14ac:dyDescent="0.25">
      <c r="H31" t="s">
        <v>438</v>
      </c>
    </row>
    <row r="32" spans="2:8" x14ac:dyDescent="0.25">
      <c r="H32" t="s">
        <v>439</v>
      </c>
    </row>
    <row r="33" spans="8:8" x14ac:dyDescent="0.25">
      <c r="H33" t="s">
        <v>440</v>
      </c>
    </row>
    <row r="34" spans="8:8" x14ac:dyDescent="0.25">
      <c r="H34" t="s">
        <v>441</v>
      </c>
    </row>
    <row r="35" spans="8:8" x14ac:dyDescent="0.25">
      <c r="H35" t="s">
        <v>442</v>
      </c>
    </row>
    <row r="37" spans="8:8" x14ac:dyDescent="0.25">
      <c r="H37" t="s">
        <v>443</v>
      </c>
    </row>
    <row r="38" spans="8:8" x14ac:dyDescent="0.25">
      <c r="H38" t="s">
        <v>444</v>
      </c>
    </row>
    <row r="39" spans="8:8" x14ac:dyDescent="0.25">
      <c r="H39" t="s">
        <v>445</v>
      </c>
    </row>
    <row r="40" spans="8:8" x14ac:dyDescent="0.25">
      <c r="H40" t="s">
        <v>446</v>
      </c>
    </row>
    <row r="41" spans="8:8" x14ac:dyDescent="0.25">
      <c r="H41" t="s">
        <v>447</v>
      </c>
    </row>
    <row r="42" spans="8:8" x14ac:dyDescent="0.25">
      <c r="H42" t="s">
        <v>448</v>
      </c>
    </row>
    <row r="43" spans="8:8" x14ac:dyDescent="0.25">
      <c r="H43" t="s">
        <v>449</v>
      </c>
    </row>
    <row r="44" spans="8:8" x14ac:dyDescent="0.25">
      <c r="H44" t="s">
        <v>450</v>
      </c>
    </row>
    <row r="46" spans="8:8" x14ac:dyDescent="0.25">
      <c r="H46" t="s">
        <v>451</v>
      </c>
    </row>
    <row r="47" spans="8:8" x14ac:dyDescent="0.25">
      <c r="H47" t="s">
        <v>452</v>
      </c>
    </row>
    <row r="48" spans="8:8" x14ac:dyDescent="0.25">
      <c r="H48" t="s">
        <v>453</v>
      </c>
    </row>
    <row r="49" spans="8:8" x14ac:dyDescent="0.25">
      <c r="H49" t="s">
        <v>454</v>
      </c>
    </row>
    <row r="50" spans="8:8" x14ac:dyDescent="0.25">
      <c r="H50" t="s">
        <v>455</v>
      </c>
    </row>
    <row r="51" spans="8:8" x14ac:dyDescent="0.25">
      <c r="H51" t="s">
        <v>456</v>
      </c>
    </row>
    <row r="52" spans="8:8" x14ac:dyDescent="0.25">
      <c r="H52" t="s">
        <v>457</v>
      </c>
    </row>
    <row r="54" spans="8:8" x14ac:dyDescent="0.25">
      <c r="H54" t="s">
        <v>458</v>
      </c>
    </row>
    <row r="55" spans="8:8" x14ac:dyDescent="0.25">
      <c r="H55" t="s">
        <v>459</v>
      </c>
    </row>
    <row r="56" spans="8:8" x14ac:dyDescent="0.25">
      <c r="H56" t="s">
        <v>460</v>
      </c>
    </row>
    <row r="57" spans="8:8" x14ac:dyDescent="0.25">
      <c r="H57" t="s">
        <v>461</v>
      </c>
    </row>
    <row r="58" spans="8:8" x14ac:dyDescent="0.25">
      <c r="H58" t="s">
        <v>462</v>
      </c>
    </row>
    <row r="59" spans="8:8" x14ac:dyDescent="0.25">
      <c r="H59" t="s">
        <v>463</v>
      </c>
    </row>
    <row r="60" spans="8:8" x14ac:dyDescent="0.25">
      <c r="H60" t="s">
        <v>464</v>
      </c>
    </row>
    <row r="62" spans="8:8" x14ac:dyDescent="0.25">
      <c r="H62" t="s">
        <v>465</v>
      </c>
    </row>
    <row r="63" spans="8:8" x14ac:dyDescent="0.25">
      <c r="H63" t="s">
        <v>466</v>
      </c>
    </row>
    <row r="64" spans="8:8" x14ac:dyDescent="0.25">
      <c r="H64" t="s">
        <v>467</v>
      </c>
    </row>
    <row r="65" spans="8:8" x14ac:dyDescent="0.25">
      <c r="H65" t="s">
        <v>468</v>
      </c>
    </row>
    <row r="66" spans="8:8" x14ac:dyDescent="0.25">
      <c r="H66" t="s">
        <v>469</v>
      </c>
    </row>
    <row r="67" spans="8:8" x14ac:dyDescent="0.25">
      <c r="H67" t="s">
        <v>470</v>
      </c>
    </row>
    <row r="68" spans="8:8" x14ac:dyDescent="0.25">
      <c r="H68" t="s">
        <v>471</v>
      </c>
    </row>
    <row r="70" spans="8:8" x14ac:dyDescent="0.25">
      <c r="H70" t="s">
        <v>472</v>
      </c>
    </row>
    <row r="71" spans="8:8" x14ac:dyDescent="0.25">
      <c r="H71" t="s">
        <v>473</v>
      </c>
    </row>
    <row r="72" spans="8:8" x14ac:dyDescent="0.25">
      <c r="H72" t="s">
        <v>474</v>
      </c>
    </row>
    <row r="73" spans="8:8" x14ac:dyDescent="0.25">
      <c r="H73" t="s">
        <v>475</v>
      </c>
    </row>
    <row r="74" spans="8:8" x14ac:dyDescent="0.25">
      <c r="H74" t="s">
        <v>476</v>
      </c>
    </row>
    <row r="75" spans="8:8" x14ac:dyDescent="0.25">
      <c r="H75" t="s">
        <v>477</v>
      </c>
    </row>
    <row r="76" spans="8:8" x14ac:dyDescent="0.25">
      <c r="H76" t="s">
        <v>478</v>
      </c>
    </row>
    <row r="77" spans="8:8" x14ac:dyDescent="0.25">
      <c r="H77" t="s">
        <v>479</v>
      </c>
    </row>
    <row r="78" spans="8:8" x14ac:dyDescent="0.25">
      <c r="H78" t="s">
        <v>480</v>
      </c>
    </row>
    <row r="79" spans="8:8" x14ac:dyDescent="0.25">
      <c r="H79" t="s">
        <v>481</v>
      </c>
    </row>
    <row r="80" spans="8:8" x14ac:dyDescent="0.25">
      <c r="H80" t="s">
        <v>482</v>
      </c>
    </row>
    <row r="82" spans="8:8" x14ac:dyDescent="0.25">
      <c r="H82" t="s">
        <v>483</v>
      </c>
    </row>
    <row r="83" spans="8:8" x14ac:dyDescent="0.25">
      <c r="H83" t="s">
        <v>484</v>
      </c>
    </row>
    <row r="84" spans="8:8" x14ac:dyDescent="0.25">
      <c r="H84" t="s">
        <v>485</v>
      </c>
    </row>
    <row r="85" spans="8:8" x14ac:dyDescent="0.25">
      <c r="H85" t="s">
        <v>486</v>
      </c>
    </row>
    <row r="86" spans="8:8" x14ac:dyDescent="0.25">
      <c r="H86" t="s">
        <v>487</v>
      </c>
    </row>
    <row r="88" spans="8:8" x14ac:dyDescent="0.25">
      <c r="H88" t="s">
        <v>488</v>
      </c>
    </row>
    <row r="89" spans="8:8" x14ac:dyDescent="0.25">
      <c r="H89" t="s">
        <v>489</v>
      </c>
    </row>
    <row r="90" spans="8:8" x14ac:dyDescent="0.25">
      <c r="H90" t="s">
        <v>490</v>
      </c>
    </row>
    <row r="91" spans="8:8" x14ac:dyDescent="0.25">
      <c r="H91" t="s">
        <v>491</v>
      </c>
    </row>
    <row r="93" spans="8:8" x14ac:dyDescent="0.25">
      <c r="H93" t="s">
        <v>492</v>
      </c>
    </row>
    <row r="94" spans="8:8" x14ac:dyDescent="0.25">
      <c r="H94" t="s">
        <v>493</v>
      </c>
    </row>
    <row r="95" spans="8:8" x14ac:dyDescent="0.25">
      <c r="H95" t="s">
        <v>494</v>
      </c>
    </row>
    <row r="96" spans="8:8" x14ac:dyDescent="0.25">
      <c r="H96" t="s">
        <v>495</v>
      </c>
    </row>
    <row r="97" spans="8:8" x14ac:dyDescent="0.25">
      <c r="H97" t="s">
        <v>496</v>
      </c>
    </row>
    <row r="98" spans="8:8" x14ac:dyDescent="0.25">
      <c r="H98" t="s">
        <v>497</v>
      </c>
    </row>
    <row r="99" spans="8:8" x14ac:dyDescent="0.25">
      <c r="H99" t="s">
        <v>498</v>
      </c>
    </row>
    <row r="100" spans="8:8" x14ac:dyDescent="0.25">
      <c r="H100" t="s">
        <v>982</v>
      </c>
    </row>
    <row r="101" spans="8:8" x14ac:dyDescent="0.25">
      <c r="H101" t="s">
        <v>983</v>
      </c>
    </row>
    <row r="102" spans="8:8" x14ac:dyDescent="0.25">
      <c r="H102" t="s">
        <v>499</v>
      </c>
    </row>
    <row r="103" spans="8:8" x14ac:dyDescent="0.25">
      <c r="H103" t="s">
        <v>500</v>
      </c>
    </row>
    <row r="104" spans="8:8" x14ac:dyDescent="0.25">
      <c r="H104" t="s">
        <v>501</v>
      </c>
    </row>
    <row r="105" spans="8:8" x14ac:dyDescent="0.25">
      <c r="H105" t="s">
        <v>502</v>
      </c>
    </row>
    <row r="106" spans="8:8" x14ac:dyDescent="0.25">
      <c r="H106" t="s">
        <v>503</v>
      </c>
    </row>
    <row r="107" spans="8:8" x14ac:dyDescent="0.25">
      <c r="H107" t="s">
        <v>504</v>
      </c>
    </row>
    <row r="108" spans="8:8" x14ac:dyDescent="0.25">
      <c r="H108" t="s">
        <v>505</v>
      </c>
    </row>
    <row r="109" spans="8:8" x14ac:dyDescent="0.25">
      <c r="H109" t="s">
        <v>506</v>
      </c>
    </row>
    <row r="110" spans="8:8" x14ac:dyDescent="0.25">
      <c r="H110" t="s">
        <v>507</v>
      </c>
    </row>
    <row r="111" spans="8:8" x14ac:dyDescent="0.25">
      <c r="H111" t="s">
        <v>508</v>
      </c>
    </row>
    <row r="113" spans="8:8" x14ac:dyDescent="0.25">
      <c r="H113" t="s">
        <v>984</v>
      </c>
    </row>
    <row r="114" spans="8:8" x14ac:dyDescent="0.25">
      <c r="H114" t="s">
        <v>985</v>
      </c>
    </row>
    <row r="115" spans="8:8" x14ac:dyDescent="0.25">
      <c r="H115" t="s">
        <v>986</v>
      </c>
    </row>
    <row r="116" spans="8:8" x14ac:dyDescent="0.25">
      <c r="H116" t="s">
        <v>987</v>
      </c>
    </row>
    <row r="117" spans="8:8" x14ac:dyDescent="0.25">
      <c r="H117" t="s">
        <v>988</v>
      </c>
    </row>
    <row r="118" spans="8:8" x14ac:dyDescent="0.25">
      <c r="H118" t="s">
        <v>989</v>
      </c>
    </row>
    <row r="119" spans="8:8" x14ac:dyDescent="0.25">
      <c r="H119" t="s">
        <v>990</v>
      </c>
    </row>
    <row r="121" spans="8:8" x14ac:dyDescent="0.25">
      <c r="H121" t="s">
        <v>991</v>
      </c>
    </row>
    <row r="122" spans="8:8" x14ac:dyDescent="0.25">
      <c r="H122" t="s">
        <v>992</v>
      </c>
    </row>
    <row r="123" spans="8:8" x14ac:dyDescent="0.25">
      <c r="H123" t="s">
        <v>993</v>
      </c>
    </row>
    <row r="124" spans="8:8" x14ac:dyDescent="0.25">
      <c r="H124" t="s">
        <v>994</v>
      </c>
    </row>
    <row r="125" spans="8:8" x14ac:dyDescent="0.25">
      <c r="H125" t="s">
        <v>995</v>
      </c>
    </row>
    <row r="127" spans="8:8" x14ac:dyDescent="0.25">
      <c r="H127" t="s">
        <v>509</v>
      </c>
    </row>
    <row r="128" spans="8:8" x14ac:dyDescent="0.25">
      <c r="H128" t="s">
        <v>510</v>
      </c>
    </row>
    <row r="129" spans="8:8" x14ac:dyDescent="0.25">
      <c r="H129" t="s">
        <v>511</v>
      </c>
    </row>
    <row r="130" spans="8:8" x14ac:dyDescent="0.25">
      <c r="H130" t="s">
        <v>512</v>
      </c>
    </row>
    <row r="131" spans="8:8" x14ac:dyDescent="0.25">
      <c r="H131" t="s">
        <v>513</v>
      </c>
    </row>
    <row r="133" spans="8:8" x14ac:dyDescent="0.25">
      <c r="H133" t="s">
        <v>105</v>
      </c>
    </row>
    <row r="135" spans="8:8" x14ac:dyDescent="0.25">
      <c r="H135" t="s">
        <v>106</v>
      </c>
    </row>
    <row r="136" spans="8:8" x14ac:dyDescent="0.25">
      <c r="H136" t="s">
        <v>514</v>
      </c>
    </row>
    <row r="137" spans="8:8" x14ac:dyDescent="0.25">
      <c r="H137" t="s">
        <v>515</v>
      </c>
    </row>
    <row r="138" spans="8:8" x14ac:dyDescent="0.25">
      <c r="H138" t="s">
        <v>516</v>
      </c>
    </row>
    <row r="139" spans="8:8" x14ac:dyDescent="0.25">
      <c r="H139" t="s">
        <v>517</v>
      </c>
    </row>
    <row r="140" spans="8:8" x14ac:dyDescent="0.25">
      <c r="H140" t="s">
        <v>518</v>
      </c>
    </row>
    <row r="141" spans="8:8" x14ac:dyDescent="0.25">
      <c r="H141" t="s">
        <v>519</v>
      </c>
    </row>
    <row r="142" spans="8:8" x14ac:dyDescent="0.25">
      <c r="H142" t="s">
        <v>520</v>
      </c>
    </row>
    <row r="143" spans="8:8" x14ac:dyDescent="0.25">
      <c r="H143" t="s">
        <v>521</v>
      </c>
    </row>
    <row r="144" spans="8:8" x14ac:dyDescent="0.25">
      <c r="H144" t="s">
        <v>522</v>
      </c>
    </row>
    <row r="145" spans="8:8" x14ac:dyDescent="0.25">
      <c r="H145" t="s">
        <v>996</v>
      </c>
    </row>
    <row r="146" spans="8:8" x14ac:dyDescent="0.25">
      <c r="H146" t="s">
        <v>523</v>
      </c>
    </row>
    <row r="148" spans="8:8" x14ac:dyDescent="0.25">
      <c r="H148" t="s">
        <v>107</v>
      </c>
    </row>
    <row r="149" spans="8:8" x14ac:dyDescent="0.25">
      <c r="H149" t="s">
        <v>524</v>
      </c>
    </row>
    <row r="150" spans="8:8" x14ac:dyDescent="0.25">
      <c r="H150" t="s">
        <v>525</v>
      </c>
    </row>
    <row r="151" spans="8:8" x14ac:dyDescent="0.25">
      <c r="H151" t="s">
        <v>526</v>
      </c>
    </row>
    <row r="152" spans="8:8" x14ac:dyDescent="0.25">
      <c r="H152" t="s">
        <v>527</v>
      </c>
    </row>
    <row r="153" spans="8:8" x14ac:dyDescent="0.25">
      <c r="H153" t="s">
        <v>997</v>
      </c>
    </row>
    <row r="154" spans="8:8" x14ac:dyDescent="0.25">
      <c r="H154" t="s">
        <v>528</v>
      </c>
    </row>
    <row r="155" spans="8:8" x14ac:dyDescent="0.25">
      <c r="H155" t="s">
        <v>529</v>
      </c>
    </row>
    <row r="156" spans="8:8" x14ac:dyDescent="0.25">
      <c r="H156" s="13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50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416</v>
      </c>
      <c r="H3" t="s">
        <v>36</v>
      </c>
      <c r="I3" s="12"/>
    </row>
    <row r="4" spans="2:9" x14ac:dyDescent="0.25">
      <c r="H4" t="s">
        <v>530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415</v>
      </c>
    </row>
    <row r="7" spans="2:9" x14ac:dyDescent="0.25">
      <c r="H7" t="s">
        <v>124</v>
      </c>
    </row>
    <row r="8" spans="2:9" x14ac:dyDescent="0.25">
      <c r="B8" s="1" t="s">
        <v>20</v>
      </c>
      <c r="H8" t="s">
        <v>531</v>
      </c>
    </row>
    <row r="9" spans="2:9" x14ac:dyDescent="0.25">
      <c r="B9" t="s">
        <v>414</v>
      </c>
      <c r="H9" t="s">
        <v>1022</v>
      </c>
    </row>
    <row r="10" spans="2:9" x14ac:dyDescent="0.25">
      <c r="H10" t="s">
        <v>532</v>
      </c>
    </row>
    <row r="11" spans="2:9" x14ac:dyDescent="0.25">
      <c r="B11" s="1" t="s">
        <v>13</v>
      </c>
      <c r="H11" t="s">
        <v>1023</v>
      </c>
    </row>
    <row r="12" spans="2:9" x14ac:dyDescent="0.25">
      <c r="B12" t="s">
        <v>15</v>
      </c>
    </row>
    <row r="13" spans="2:9" x14ac:dyDescent="0.25">
      <c r="H13" t="s">
        <v>125</v>
      </c>
    </row>
    <row r="14" spans="2:9" x14ac:dyDescent="0.25">
      <c r="B14" s="1" t="s">
        <v>14</v>
      </c>
      <c r="H14" t="s">
        <v>533</v>
      </c>
    </row>
    <row r="15" spans="2:9" x14ac:dyDescent="0.25">
      <c r="B15" t="s">
        <v>16</v>
      </c>
      <c r="H15" t="s">
        <v>1022</v>
      </c>
    </row>
    <row r="16" spans="2:9" x14ac:dyDescent="0.25">
      <c r="H16" t="s">
        <v>534</v>
      </c>
    </row>
    <row r="17" spans="2:8" x14ac:dyDescent="0.25">
      <c r="B17" s="1" t="s">
        <v>21</v>
      </c>
      <c r="H17" t="s">
        <v>1023</v>
      </c>
    </row>
    <row r="18" spans="2:8" x14ac:dyDescent="0.25">
      <c r="B18" t="s">
        <v>412</v>
      </c>
    </row>
    <row r="19" spans="2:8" x14ac:dyDescent="0.25">
      <c r="H19" t="s">
        <v>126</v>
      </c>
    </row>
    <row r="20" spans="2:8" x14ac:dyDescent="0.25">
      <c r="B20" s="1" t="s">
        <v>22</v>
      </c>
      <c r="H20" t="s">
        <v>535</v>
      </c>
    </row>
    <row r="21" spans="2:8" x14ac:dyDescent="0.25">
      <c r="B21" t="s">
        <v>413</v>
      </c>
      <c r="H21" t="s">
        <v>1022</v>
      </c>
    </row>
    <row r="22" spans="2:8" x14ac:dyDescent="0.25">
      <c r="H22" t="s">
        <v>940</v>
      </c>
    </row>
    <row r="23" spans="2:8" x14ac:dyDescent="0.25">
      <c r="H23" t="s">
        <v>1023</v>
      </c>
    </row>
    <row r="25" spans="2:8" x14ac:dyDescent="0.25">
      <c r="H25" t="s">
        <v>127</v>
      </c>
    </row>
    <row r="26" spans="2:8" x14ac:dyDescent="0.25">
      <c r="H26" t="s">
        <v>536</v>
      </c>
    </row>
    <row r="27" spans="2:8" x14ac:dyDescent="0.25">
      <c r="H27" t="s">
        <v>1022</v>
      </c>
    </row>
    <row r="28" spans="2:8" x14ac:dyDescent="0.25">
      <c r="H28" t="s">
        <v>941</v>
      </c>
    </row>
    <row r="29" spans="2:8" x14ac:dyDescent="0.25">
      <c r="H29" t="s">
        <v>1023</v>
      </c>
    </row>
    <row r="31" spans="2:8" x14ac:dyDescent="0.25">
      <c r="H31" t="s">
        <v>128</v>
      </c>
    </row>
    <row r="32" spans="2:8" x14ac:dyDescent="0.25">
      <c r="H32" t="s">
        <v>537</v>
      </c>
    </row>
    <row r="33" spans="8:8" x14ac:dyDescent="0.25">
      <c r="H33" t="s">
        <v>1022</v>
      </c>
    </row>
    <row r="34" spans="8:8" x14ac:dyDescent="0.25">
      <c r="H34" t="s">
        <v>538</v>
      </c>
    </row>
    <row r="35" spans="8:8" x14ac:dyDescent="0.25">
      <c r="H35" t="s">
        <v>1023</v>
      </c>
    </row>
    <row r="37" spans="8:8" x14ac:dyDescent="0.25">
      <c r="H37" t="s">
        <v>129</v>
      </c>
    </row>
    <row r="38" spans="8:8" x14ac:dyDescent="0.25">
      <c r="H38" t="s">
        <v>539</v>
      </c>
    </row>
    <row r="39" spans="8:8" x14ac:dyDescent="0.25">
      <c r="H39" t="s">
        <v>1022</v>
      </c>
    </row>
    <row r="40" spans="8:8" x14ac:dyDescent="0.25">
      <c r="H40" t="s">
        <v>540</v>
      </c>
    </row>
    <row r="41" spans="8:8" x14ac:dyDescent="0.25">
      <c r="H41" t="s">
        <v>1023</v>
      </c>
    </row>
    <row r="43" spans="8:8" x14ac:dyDescent="0.25">
      <c r="H43" t="s">
        <v>130</v>
      </c>
    </row>
    <row r="44" spans="8:8" x14ac:dyDescent="0.25">
      <c r="H44" t="s">
        <v>541</v>
      </c>
    </row>
    <row r="45" spans="8:8" x14ac:dyDescent="0.25">
      <c r="H45" t="s">
        <v>1022</v>
      </c>
    </row>
    <row r="46" spans="8:8" x14ac:dyDescent="0.25">
      <c r="H46" t="s">
        <v>542</v>
      </c>
    </row>
    <row r="47" spans="8:8" x14ac:dyDescent="0.25">
      <c r="H47" t="s">
        <v>1023</v>
      </c>
    </row>
    <row r="49" spans="8:8" x14ac:dyDescent="0.25">
      <c r="H49" t="s">
        <v>131</v>
      </c>
    </row>
    <row r="50" spans="8:8" x14ac:dyDescent="0.25">
      <c r="H50" t="s">
        <v>543</v>
      </c>
    </row>
    <row r="51" spans="8:8" x14ac:dyDescent="0.25">
      <c r="H51" t="s">
        <v>1022</v>
      </c>
    </row>
    <row r="52" spans="8:8" x14ac:dyDescent="0.25">
      <c r="H52" t="s">
        <v>544</v>
      </c>
    </row>
    <row r="53" spans="8:8" x14ac:dyDescent="0.25">
      <c r="H53" t="s">
        <v>1023</v>
      </c>
    </row>
    <row r="55" spans="8:8" x14ac:dyDescent="0.25">
      <c r="H55" t="s">
        <v>132</v>
      </c>
    </row>
    <row r="56" spans="8:8" x14ac:dyDescent="0.25">
      <c r="H56" t="s">
        <v>545</v>
      </c>
    </row>
    <row r="57" spans="8:8" x14ac:dyDescent="0.25">
      <c r="H57" t="s">
        <v>1022</v>
      </c>
    </row>
    <row r="58" spans="8:8" x14ac:dyDescent="0.25">
      <c r="H58" t="s">
        <v>546</v>
      </c>
    </row>
    <row r="59" spans="8:8" x14ac:dyDescent="0.25">
      <c r="H59" t="s">
        <v>1023</v>
      </c>
    </row>
    <row r="61" spans="8:8" x14ac:dyDescent="0.25">
      <c r="H61" t="s">
        <v>133</v>
      </c>
    </row>
    <row r="62" spans="8:8" x14ac:dyDescent="0.25">
      <c r="H62" t="s">
        <v>547</v>
      </c>
    </row>
    <row r="63" spans="8:8" x14ac:dyDescent="0.25">
      <c r="H63" t="s">
        <v>1022</v>
      </c>
    </row>
    <row r="64" spans="8:8" x14ac:dyDescent="0.25">
      <c r="H64" t="s">
        <v>548</v>
      </c>
    </row>
    <row r="65" spans="8:8" x14ac:dyDescent="0.25">
      <c r="H65" t="s">
        <v>1023</v>
      </c>
    </row>
    <row r="67" spans="8:8" x14ac:dyDescent="0.25">
      <c r="H67" t="s">
        <v>134</v>
      </c>
    </row>
    <row r="68" spans="8:8" x14ac:dyDescent="0.25">
      <c r="H68" t="s">
        <v>549</v>
      </c>
    </row>
    <row r="69" spans="8:8" x14ac:dyDescent="0.25">
      <c r="H69" t="s">
        <v>1022</v>
      </c>
    </row>
    <row r="70" spans="8:8" x14ac:dyDescent="0.25">
      <c r="H70" t="s">
        <v>550</v>
      </c>
    </row>
    <row r="71" spans="8:8" x14ac:dyDescent="0.25">
      <c r="H71" t="s">
        <v>1023</v>
      </c>
    </row>
    <row r="73" spans="8:8" x14ac:dyDescent="0.25">
      <c r="H73" t="s">
        <v>135</v>
      </c>
    </row>
    <row r="74" spans="8:8" x14ac:dyDescent="0.25">
      <c r="H74" t="s">
        <v>551</v>
      </c>
    </row>
    <row r="75" spans="8:8" x14ac:dyDescent="0.25">
      <c r="H75" t="s">
        <v>1022</v>
      </c>
    </row>
    <row r="76" spans="8:8" x14ac:dyDescent="0.25">
      <c r="H76" t="s">
        <v>552</v>
      </c>
    </row>
    <row r="77" spans="8:8" x14ac:dyDescent="0.25">
      <c r="H77" t="s">
        <v>1023</v>
      </c>
    </row>
    <row r="79" spans="8:8" x14ac:dyDescent="0.25">
      <c r="H79" t="s">
        <v>136</v>
      </c>
    </row>
    <row r="80" spans="8:8" x14ac:dyDescent="0.25">
      <c r="H80" t="s">
        <v>553</v>
      </c>
    </row>
    <row r="81" spans="8:8" x14ac:dyDescent="0.25">
      <c r="H81" t="s">
        <v>1022</v>
      </c>
    </row>
    <row r="82" spans="8:8" x14ac:dyDescent="0.25">
      <c r="H82" t="s">
        <v>554</v>
      </c>
    </row>
    <row r="83" spans="8:8" x14ac:dyDescent="0.25">
      <c r="H83" t="s">
        <v>1023</v>
      </c>
    </row>
    <row r="85" spans="8:8" x14ac:dyDescent="0.25">
      <c r="H85" t="s">
        <v>137</v>
      </c>
    </row>
    <row r="86" spans="8:8" x14ac:dyDescent="0.25">
      <c r="H86" t="s">
        <v>555</v>
      </c>
    </row>
    <row r="87" spans="8:8" x14ac:dyDescent="0.25">
      <c r="H87" t="s">
        <v>1022</v>
      </c>
    </row>
    <row r="88" spans="8:8" x14ac:dyDescent="0.25">
      <c r="H88" t="s">
        <v>556</v>
      </c>
    </row>
    <row r="89" spans="8:8" x14ac:dyDescent="0.25">
      <c r="H89" t="s">
        <v>1023</v>
      </c>
    </row>
    <row r="91" spans="8:8" x14ac:dyDescent="0.25">
      <c r="H91" t="s">
        <v>138</v>
      </c>
    </row>
    <row r="92" spans="8:8" x14ac:dyDescent="0.25">
      <c r="H92" t="s">
        <v>557</v>
      </c>
    </row>
    <row r="93" spans="8:8" x14ac:dyDescent="0.25">
      <c r="H93" t="s">
        <v>1022</v>
      </c>
    </row>
    <row r="94" spans="8:8" x14ac:dyDescent="0.25">
      <c r="H94" t="s">
        <v>558</v>
      </c>
    </row>
    <row r="95" spans="8:8" x14ac:dyDescent="0.25">
      <c r="H95" t="s">
        <v>1023</v>
      </c>
    </row>
    <row r="97" spans="8:8" x14ac:dyDescent="0.25">
      <c r="H97" t="s">
        <v>139</v>
      </c>
    </row>
    <row r="98" spans="8:8" x14ac:dyDescent="0.25">
      <c r="H98" t="s">
        <v>559</v>
      </c>
    </row>
    <row r="99" spans="8:8" x14ac:dyDescent="0.25">
      <c r="H99" t="s">
        <v>1022</v>
      </c>
    </row>
    <row r="100" spans="8:8" x14ac:dyDescent="0.25">
      <c r="H100" t="s">
        <v>560</v>
      </c>
    </row>
    <row r="101" spans="8:8" x14ac:dyDescent="0.25">
      <c r="H101" t="s">
        <v>1023</v>
      </c>
    </row>
    <row r="103" spans="8:8" x14ac:dyDescent="0.25">
      <c r="H103" t="s">
        <v>140</v>
      </c>
    </row>
    <row r="104" spans="8:8" x14ac:dyDescent="0.25">
      <c r="H104" t="s">
        <v>561</v>
      </c>
    </row>
    <row r="105" spans="8:8" x14ac:dyDescent="0.25">
      <c r="H105" t="s">
        <v>1022</v>
      </c>
    </row>
    <row r="106" spans="8:8" x14ac:dyDescent="0.25">
      <c r="H106" t="s">
        <v>562</v>
      </c>
    </row>
    <row r="107" spans="8:8" x14ac:dyDescent="0.25">
      <c r="H107" t="s">
        <v>1023</v>
      </c>
    </row>
    <row r="109" spans="8:8" x14ac:dyDescent="0.25">
      <c r="H109" t="s">
        <v>141</v>
      </c>
    </row>
    <row r="110" spans="8:8" x14ac:dyDescent="0.25">
      <c r="H110" t="s">
        <v>563</v>
      </c>
    </row>
    <row r="111" spans="8:8" x14ac:dyDescent="0.25">
      <c r="H111" t="s">
        <v>1022</v>
      </c>
    </row>
    <row r="112" spans="8:8" x14ac:dyDescent="0.25">
      <c r="H112" t="s">
        <v>564</v>
      </c>
    </row>
    <row r="113" spans="8:8" x14ac:dyDescent="0.25">
      <c r="H113" t="s">
        <v>1023</v>
      </c>
    </row>
    <row r="115" spans="8:8" x14ac:dyDescent="0.25">
      <c r="H115" t="s">
        <v>142</v>
      </c>
    </row>
    <row r="116" spans="8:8" x14ac:dyDescent="0.25">
      <c r="H116" t="s">
        <v>565</v>
      </c>
    </row>
    <row r="117" spans="8:8" x14ac:dyDescent="0.25">
      <c r="H117" t="s">
        <v>1022</v>
      </c>
    </row>
    <row r="118" spans="8:8" x14ac:dyDescent="0.25">
      <c r="H118" t="s">
        <v>566</v>
      </c>
    </row>
    <row r="119" spans="8:8" x14ac:dyDescent="0.25">
      <c r="H119" t="s">
        <v>1023</v>
      </c>
    </row>
    <row r="121" spans="8:8" x14ac:dyDescent="0.25">
      <c r="H121" t="s">
        <v>143</v>
      </c>
    </row>
    <row r="122" spans="8:8" x14ac:dyDescent="0.25">
      <c r="H122" t="s">
        <v>567</v>
      </c>
    </row>
    <row r="123" spans="8:8" x14ac:dyDescent="0.25">
      <c r="H123" t="s">
        <v>1022</v>
      </c>
    </row>
    <row r="124" spans="8:8" x14ac:dyDescent="0.25">
      <c r="H124" t="s">
        <v>568</v>
      </c>
    </row>
    <row r="125" spans="8:8" x14ac:dyDescent="0.25">
      <c r="H125" t="s">
        <v>1023</v>
      </c>
    </row>
    <row r="127" spans="8:8" x14ac:dyDescent="0.25">
      <c r="H127" t="s">
        <v>144</v>
      </c>
    </row>
    <row r="128" spans="8:8" x14ac:dyDescent="0.25">
      <c r="H128" t="s">
        <v>569</v>
      </c>
    </row>
    <row r="129" spans="8:8" x14ac:dyDescent="0.25">
      <c r="H129" t="s">
        <v>1022</v>
      </c>
    </row>
    <row r="130" spans="8:8" x14ac:dyDescent="0.25">
      <c r="H130" t="s">
        <v>570</v>
      </c>
    </row>
    <row r="131" spans="8:8" x14ac:dyDescent="0.25">
      <c r="H131" t="s">
        <v>1023</v>
      </c>
    </row>
    <row r="133" spans="8:8" x14ac:dyDescent="0.25">
      <c r="H133" t="s">
        <v>145</v>
      </c>
    </row>
    <row r="134" spans="8:8" x14ac:dyDescent="0.25">
      <c r="H134" t="s">
        <v>571</v>
      </c>
    </row>
    <row r="135" spans="8:8" x14ac:dyDescent="0.25">
      <c r="H135" t="s">
        <v>1022</v>
      </c>
    </row>
    <row r="136" spans="8:8" x14ac:dyDescent="0.25">
      <c r="H136" t="s">
        <v>572</v>
      </c>
    </row>
    <row r="137" spans="8:8" x14ac:dyDescent="0.25">
      <c r="H137" t="s">
        <v>1023</v>
      </c>
    </row>
    <row r="139" spans="8:8" x14ac:dyDescent="0.25">
      <c r="H139" t="s">
        <v>146</v>
      </c>
    </row>
    <row r="140" spans="8:8" x14ac:dyDescent="0.25">
      <c r="H140" t="s">
        <v>573</v>
      </c>
    </row>
    <row r="141" spans="8:8" x14ac:dyDescent="0.25">
      <c r="H141" t="s">
        <v>1022</v>
      </c>
    </row>
    <row r="142" spans="8:8" x14ac:dyDescent="0.25">
      <c r="H142" t="s">
        <v>574</v>
      </c>
    </row>
    <row r="143" spans="8:8" x14ac:dyDescent="0.25">
      <c r="H143" t="s">
        <v>1023</v>
      </c>
    </row>
    <row r="145" spans="8:8" x14ac:dyDescent="0.25">
      <c r="H145" t="s">
        <v>147</v>
      </c>
    </row>
    <row r="146" spans="8:8" x14ac:dyDescent="0.25">
      <c r="H146" t="s">
        <v>575</v>
      </c>
    </row>
    <row r="147" spans="8:8" x14ac:dyDescent="0.25">
      <c r="H147" t="s">
        <v>1022</v>
      </c>
    </row>
    <row r="148" spans="8:8" x14ac:dyDescent="0.25">
      <c r="H148" t="s">
        <v>576</v>
      </c>
    </row>
    <row r="149" spans="8:8" x14ac:dyDescent="0.25">
      <c r="H149" t="s">
        <v>1023</v>
      </c>
    </row>
    <row r="151" spans="8:8" x14ac:dyDescent="0.25">
      <c r="H151" t="s">
        <v>148</v>
      </c>
    </row>
    <row r="152" spans="8:8" x14ac:dyDescent="0.25">
      <c r="H152" t="s">
        <v>577</v>
      </c>
    </row>
    <row r="153" spans="8:8" x14ac:dyDescent="0.25">
      <c r="H153" t="s">
        <v>1022</v>
      </c>
    </row>
    <row r="154" spans="8:8" x14ac:dyDescent="0.25">
      <c r="H154" t="s">
        <v>578</v>
      </c>
    </row>
    <row r="155" spans="8:8" x14ac:dyDescent="0.25">
      <c r="H155" t="s">
        <v>1023</v>
      </c>
    </row>
    <row r="157" spans="8:8" x14ac:dyDescent="0.25">
      <c r="H157" t="s">
        <v>149</v>
      </c>
    </row>
    <row r="158" spans="8:8" x14ac:dyDescent="0.25">
      <c r="H158" t="s">
        <v>579</v>
      </c>
    </row>
    <row r="159" spans="8:8" x14ac:dyDescent="0.25">
      <c r="H159" t="s">
        <v>1022</v>
      </c>
    </row>
    <row r="160" spans="8:8" x14ac:dyDescent="0.25">
      <c r="H160" t="s">
        <v>580</v>
      </c>
    </row>
    <row r="161" spans="8:8" x14ac:dyDescent="0.25">
      <c r="H161" t="s">
        <v>1023</v>
      </c>
    </row>
    <row r="163" spans="8:8" x14ac:dyDescent="0.25">
      <c r="H163" t="s">
        <v>150</v>
      </c>
    </row>
    <row r="164" spans="8:8" x14ac:dyDescent="0.25">
      <c r="H164" t="s">
        <v>581</v>
      </c>
    </row>
    <row r="165" spans="8:8" x14ac:dyDescent="0.25">
      <c r="H165" t="s">
        <v>1022</v>
      </c>
    </row>
    <row r="166" spans="8:8" x14ac:dyDescent="0.25">
      <c r="H166" t="s">
        <v>582</v>
      </c>
    </row>
    <row r="167" spans="8:8" x14ac:dyDescent="0.25">
      <c r="H167" t="s">
        <v>1023</v>
      </c>
    </row>
    <row r="169" spans="8:8" x14ac:dyDescent="0.25">
      <c r="H169" t="s">
        <v>151</v>
      </c>
    </row>
    <row r="170" spans="8:8" x14ac:dyDescent="0.25">
      <c r="H170" t="s">
        <v>583</v>
      </c>
    </row>
    <row r="171" spans="8:8" x14ac:dyDescent="0.25">
      <c r="H171" t="s">
        <v>1022</v>
      </c>
    </row>
    <row r="172" spans="8:8" x14ac:dyDescent="0.25">
      <c r="H172" t="s">
        <v>584</v>
      </c>
    </row>
    <row r="173" spans="8:8" x14ac:dyDescent="0.25">
      <c r="H173" t="s">
        <v>1023</v>
      </c>
    </row>
    <row r="175" spans="8:8" x14ac:dyDescent="0.25">
      <c r="H175" t="s">
        <v>152</v>
      </c>
    </row>
    <row r="176" spans="8:8" x14ac:dyDescent="0.25">
      <c r="H176" t="s">
        <v>585</v>
      </c>
    </row>
    <row r="177" spans="8:8" x14ac:dyDescent="0.25">
      <c r="H177" t="s">
        <v>1022</v>
      </c>
    </row>
    <row r="178" spans="8:8" x14ac:dyDescent="0.25">
      <c r="H178" t="s">
        <v>586</v>
      </c>
    </row>
    <row r="179" spans="8:8" x14ac:dyDescent="0.25">
      <c r="H179" t="s">
        <v>1023</v>
      </c>
    </row>
    <row r="181" spans="8:8" x14ac:dyDescent="0.25">
      <c r="H181" t="s">
        <v>153</v>
      </c>
    </row>
    <row r="182" spans="8:8" x14ac:dyDescent="0.25">
      <c r="H182" t="s">
        <v>587</v>
      </c>
    </row>
    <row r="183" spans="8:8" x14ac:dyDescent="0.25">
      <c r="H183" t="s">
        <v>1022</v>
      </c>
    </row>
    <row r="184" spans="8:8" x14ac:dyDescent="0.25">
      <c r="H184" t="s">
        <v>588</v>
      </c>
    </row>
    <row r="185" spans="8:8" x14ac:dyDescent="0.25">
      <c r="H185" t="s">
        <v>1023</v>
      </c>
    </row>
    <row r="187" spans="8:8" x14ac:dyDescent="0.25">
      <c r="H187" t="s">
        <v>154</v>
      </c>
    </row>
    <row r="188" spans="8:8" x14ac:dyDescent="0.25">
      <c r="H188" t="s">
        <v>589</v>
      </c>
    </row>
    <row r="189" spans="8:8" x14ac:dyDescent="0.25">
      <c r="H189" t="s">
        <v>1022</v>
      </c>
    </row>
    <row r="190" spans="8:8" x14ac:dyDescent="0.25">
      <c r="H190" t="s">
        <v>590</v>
      </c>
    </row>
    <row r="191" spans="8:8" x14ac:dyDescent="0.25">
      <c r="H191" t="s">
        <v>1023</v>
      </c>
    </row>
    <row r="193" spans="8:8" x14ac:dyDescent="0.25">
      <c r="H193" t="s">
        <v>155</v>
      </c>
    </row>
    <row r="194" spans="8:8" x14ac:dyDescent="0.25">
      <c r="H194" t="s">
        <v>591</v>
      </c>
    </row>
    <row r="195" spans="8:8" x14ac:dyDescent="0.25">
      <c r="H195" t="s">
        <v>1022</v>
      </c>
    </row>
    <row r="196" spans="8:8" x14ac:dyDescent="0.25">
      <c r="H196" t="s">
        <v>592</v>
      </c>
    </row>
    <row r="197" spans="8:8" x14ac:dyDescent="0.25">
      <c r="H197" t="s">
        <v>1023</v>
      </c>
    </row>
    <row r="198" spans="8:8" x14ac:dyDescent="0.25">
      <c r="H198" t="s">
        <v>1024</v>
      </c>
    </row>
    <row r="199" spans="8:8" x14ac:dyDescent="0.25">
      <c r="H199" t="s">
        <v>593</v>
      </c>
    </row>
    <row r="200" spans="8:8" x14ac:dyDescent="0.25">
      <c r="H200" t="s">
        <v>1023</v>
      </c>
    </row>
    <row r="201" spans="8:8" x14ac:dyDescent="0.25">
      <c r="H201" t="s">
        <v>1025</v>
      </c>
    </row>
    <row r="202" spans="8:8" x14ac:dyDescent="0.25">
      <c r="H202" t="s">
        <v>594</v>
      </c>
    </row>
    <row r="203" spans="8:8" x14ac:dyDescent="0.25">
      <c r="H203" t="s">
        <v>1023</v>
      </c>
    </row>
    <row r="204" spans="8:8" x14ac:dyDescent="0.25">
      <c r="H204" t="s">
        <v>1026</v>
      </c>
    </row>
    <row r="205" spans="8:8" x14ac:dyDescent="0.25">
      <c r="H205" t="s">
        <v>595</v>
      </c>
    </row>
    <row r="206" spans="8:8" x14ac:dyDescent="0.25">
      <c r="H206" t="s">
        <v>1023</v>
      </c>
    </row>
    <row r="208" spans="8:8" x14ac:dyDescent="0.25">
      <c r="H208" t="s">
        <v>156</v>
      </c>
    </row>
    <row r="209" spans="8:8" x14ac:dyDescent="0.25">
      <c r="H209" t="s">
        <v>596</v>
      </c>
    </row>
    <row r="210" spans="8:8" x14ac:dyDescent="0.25">
      <c r="H210" t="s">
        <v>1022</v>
      </c>
    </row>
    <row r="211" spans="8:8" x14ac:dyDescent="0.25">
      <c r="H211" t="s">
        <v>597</v>
      </c>
    </row>
    <row r="212" spans="8:8" x14ac:dyDescent="0.25">
      <c r="H212" t="s">
        <v>1023</v>
      </c>
    </row>
    <row r="213" spans="8:8" x14ac:dyDescent="0.25">
      <c r="H213" t="s">
        <v>1024</v>
      </c>
    </row>
    <row r="214" spans="8:8" x14ac:dyDescent="0.25">
      <c r="H214" t="s">
        <v>598</v>
      </c>
    </row>
    <row r="215" spans="8:8" x14ac:dyDescent="0.25">
      <c r="H215" t="s">
        <v>1023</v>
      </c>
    </row>
    <row r="216" spans="8:8" x14ac:dyDescent="0.25">
      <c r="H216" t="s">
        <v>1025</v>
      </c>
    </row>
    <row r="217" spans="8:8" x14ac:dyDescent="0.25">
      <c r="H217" t="s">
        <v>599</v>
      </c>
    </row>
    <row r="218" spans="8:8" x14ac:dyDescent="0.25">
      <c r="H218" t="s">
        <v>1023</v>
      </c>
    </row>
    <row r="219" spans="8:8" x14ac:dyDescent="0.25">
      <c r="H219" t="s">
        <v>1026</v>
      </c>
    </row>
    <row r="220" spans="8:8" x14ac:dyDescent="0.25">
      <c r="H220" t="s">
        <v>600</v>
      </c>
    </row>
    <row r="221" spans="8:8" x14ac:dyDescent="0.25">
      <c r="H221" t="s">
        <v>1023</v>
      </c>
    </row>
    <row r="223" spans="8:8" x14ac:dyDescent="0.25">
      <c r="H223" t="s">
        <v>157</v>
      </c>
    </row>
    <row r="224" spans="8:8" x14ac:dyDescent="0.25">
      <c r="H224" t="s">
        <v>601</v>
      </c>
    </row>
    <row r="225" spans="8:8" x14ac:dyDescent="0.25">
      <c r="H225" t="s">
        <v>1022</v>
      </c>
    </row>
    <row r="226" spans="8:8" x14ac:dyDescent="0.25">
      <c r="H226" t="s">
        <v>602</v>
      </c>
    </row>
    <row r="227" spans="8:8" x14ac:dyDescent="0.25">
      <c r="H227" t="s">
        <v>1023</v>
      </c>
    </row>
    <row r="228" spans="8:8" x14ac:dyDescent="0.25">
      <c r="H228" t="s">
        <v>1024</v>
      </c>
    </row>
    <row r="229" spans="8:8" x14ac:dyDescent="0.25">
      <c r="H229" t="s">
        <v>603</v>
      </c>
    </row>
    <row r="230" spans="8:8" x14ac:dyDescent="0.25">
      <c r="H230" t="s">
        <v>1023</v>
      </c>
    </row>
    <row r="231" spans="8:8" x14ac:dyDescent="0.25">
      <c r="H231" t="s">
        <v>1025</v>
      </c>
    </row>
    <row r="232" spans="8:8" x14ac:dyDescent="0.25">
      <c r="H232" t="s">
        <v>604</v>
      </c>
    </row>
    <row r="233" spans="8:8" x14ac:dyDescent="0.25">
      <c r="H233" t="s">
        <v>1023</v>
      </c>
    </row>
    <row r="234" spans="8:8" x14ac:dyDescent="0.25">
      <c r="H234" t="s">
        <v>1026</v>
      </c>
    </row>
    <row r="235" spans="8:8" x14ac:dyDescent="0.25">
      <c r="H235" t="s">
        <v>605</v>
      </c>
    </row>
    <row r="236" spans="8:8" x14ac:dyDescent="0.25">
      <c r="H236" t="s">
        <v>1023</v>
      </c>
    </row>
    <row r="238" spans="8:8" x14ac:dyDescent="0.25">
      <c r="H238" t="s">
        <v>158</v>
      </c>
    </row>
    <row r="239" spans="8:8" x14ac:dyDescent="0.25">
      <c r="H239" t="s">
        <v>606</v>
      </c>
    </row>
    <row r="240" spans="8:8" x14ac:dyDescent="0.25">
      <c r="H240" t="s">
        <v>1022</v>
      </c>
    </row>
    <row r="241" spans="8:8" x14ac:dyDescent="0.25">
      <c r="H241" t="s">
        <v>607</v>
      </c>
    </row>
    <row r="242" spans="8:8" x14ac:dyDescent="0.25">
      <c r="H242" t="s">
        <v>1023</v>
      </c>
    </row>
    <row r="243" spans="8:8" x14ac:dyDescent="0.25">
      <c r="H243" t="s">
        <v>1024</v>
      </c>
    </row>
    <row r="244" spans="8:8" x14ac:dyDescent="0.25">
      <c r="H244" t="s">
        <v>608</v>
      </c>
    </row>
    <row r="245" spans="8:8" x14ac:dyDescent="0.25">
      <c r="H245" t="s">
        <v>1023</v>
      </c>
    </row>
    <row r="246" spans="8:8" x14ac:dyDescent="0.25">
      <c r="H246" t="s">
        <v>1025</v>
      </c>
    </row>
    <row r="247" spans="8:8" x14ac:dyDescent="0.25">
      <c r="H247" t="s">
        <v>609</v>
      </c>
    </row>
    <row r="248" spans="8:8" x14ac:dyDescent="0.25">
      <c r="H248" t="s">
        <v>1023</v>
      </c>
    </row>
    <row r="249" spans="8:8" x14ac:dyDescent="0.25">
      <c r="H249" t="s">
        <v>1026</v>
      </c>
    </row>
    <row r="250" spans="8:8" x14ac:dyDescent="0.25">
      <c r="H250" t="s">
        <v>610</v>
      </c>
    </row>
    <row r="251" spans="8:8" x14ac:dyDescent="0.25">
      <c r="H251" t="s">
        <v>1023</v>
      </c>
    </row>
    <row r="253" spans="8:8" x14ac:dyDescent="0.25">
      <c r="H253" t="s">
        <v>159</v>
      </c>
    </row>
    <row r="254" spans="8:8" x14ac:dyDescent="0.25">
      <c r="H254" t="s">
        <v>611</v>
      </c>
    </row>
    <row r="255" spans="8:8" x14ac:dyDescent="0.25">
      <c r="H255" t="s">
        <v>1022</v>
      </c>
    </row>
    <row r="256" spans="8:8" x14ac:dyDescent="0.25">
      <c r="H256" t="s">
        <v>612</v>
      </c>
    </row>
    <row r="257" spans="8:8" x14ac:dyDescent="0.25">
      <c r="H257" t="s">
        <v>1023</v>
      </c>
    </row>
    <row r="258" spans="8:8" x14ac:dyDescent="0.25">
      <c r="H258" t="s">
        <v>1024</v>
      </c>
    </row>
    <row r="259" spans="8:8" x14ac:dyDescent="0.25">
      <c r="H259" t="s">
        <v>613</v>
      </c>
    </row>
    <row r="260" spans="8:8" x14ac:dyDescent="0.25">
      <c r="H260" t="s">
        <v>1023</v>
      </c>
    </row>
    <row r="261" spans="8:8" x14ac:dyDescent="0.25">
      <c r="H261" t="s">
        <v>1025</v>
      </c>
    </row>
    <row r="262" spans="8:8" x14ac:dyDescent="0.25">
      <c r="H262" t="s">
        <v>614</v>
      </c>
    </row>
    <row r="263" spans="8:8" x14ac:dyDescent="0.25">
      <c r="H263" t="s">
        <v>1023</v>
      </c>
    </row>
    <row r="264" spans="8:8" x14ac:dyDescent="0.25">
      <c r="H264" t="s">
        <v>1026</v>
      </c>
    </row>
    <row r="265" spans="8:8" x14ac:dyDescent="0.25">
      <c r="H265" t="s">
        <v>615</v>
      </c>
    </row>
    <row r="266" spans="8:8" x14ac:dyDescent="0.25">
      <c r="H266" t="s">
        <v>1023</v>
      </c>
    </row>
    <row r="268" spans="8:8" x14ac:dyDescent="0.25">
      <c r="H268" t="s">
        <v>160</v>
      </c>
    </row>
    <row r="269" spans="8:8" x14ac:dyDescent="0.25">
      <c r="H269" t="s">
        <v>616</v>
      </c>
    </row>
    <row r="270" spans="8:8" x14ac:dyDescent="0.25">
      <c r="H270" t="s">
        <v>1022</v>
      </c>
    </row>
    <row r="271" spans="8:8" x14ac:dyDescent="0.25">
      <c r="H271" t="s">
        <v>617</v>
      </c>
    </row>
    <row r="272" spans="8:8" x14ac:dyDescent="0.25">
      <c r="H272" t="s">
        <v>1023</v>
      </c>
    </row>
    <row r="273" spans="8:8" x14ac:dyDescent="0.25">
      <c r="H273" t="s">
        <v>1024</v>
      </c>
    </row>
    <row r="274" spans="8:8" x14ac:dyDescent="0.25">
      <c r="H274" t="s">
        <v>618</v>
      </c>
    </row>
    <row r="275" spans="8:8" x14ac:dyDescent="0.25">
      <c r="H275" t="s">
        <v>1023</v>
      </c>
    </row>
    <row r="276" spans="8:8" x14ac:dyDescent="0.25">
      <c r="H276" t="s">
        <v>1025</v>
      </c>
    </row>
    <row r="277" spans="8:8" x14ac:dyDescent="0.25">
      <c r="H277" t="s">
        <v>619</v>
      </c>
    </row>
    <row r="278" spans="8:8" x14ac:dyDescent="0.25">
      <c r="H278" t="s">
        <v>1023</v>
      </c>
    </row>
    <row r="279" spans="8:8" x14ac:dyDescent="0.25">
      <c r="H279" t="s">
        <v>1026</v>
      </c>
    </row>
    <row r="280" spans="8:8" x14ac:dyDescent="0.25">
      <c r="H280" t="s">
        <v>620</v>
      </c>
    </row>
    <row r="281" spans="8:8" x14ac:dyDescent="0.25">
      <c r="H281" t="s">
        <v>1023</v>
      </c>
    </row>
    <row r="283" spans="8:8" x14ac:dyDescent="0.25">
      <c r="H283" t="s">
        <v>161</v>
      </c>
    </row>
    <row r="284" spans="8:8" x14ac:dyDescent="0.25">
      <c r="H284" t="s">
        <v>621</v>
      </c>
    </row>
    <row r="285" spans="8:8" x14ac:dyDescent="0.25">
      <c r="H285" t="s">
        <v>1022</v>
      </c>
    </row>
    <row r="286" spans="8:8" x14ac:dyDescent="0.25">
      <c r="H286" t="s">
        <v>622</v>
      </c>
    </row>
    <row r="287" spans="8:8" x14ac:dyDescent="0.25">
      <c r="H287" t="s">
        <v>1023</v>
      </c>
    </row>
    <row r="288" spans="8:8" x14ac:dyDescent="0.25">
      <c r="H288" t="s">
        <v>1024</v>
      </c>
    </row>
    <row r="289" spans="8:8" x14ac:dyDescent="0.25">
      <c r="H289" t="s">
        <v>623</v>
      </c>
    </row>
    <row r="290" spans="8:8" x14ac:dyDescent="0.25">
      <c r="H290" t="s">
        <v>1023</v>
      </c>
    </row>
    <row r="291" spans="8:8" x14ac:dyDescent="0.25">
      <c r="H291" t="s">
        <v>1025</v>
      </c>
    </row>
    <row r="292" spans="8:8" x14ac:dyDescent="0.25">
      <c r="H292" t="s">
        <v>624</v>
      </c>
    </row>
    <row r="293" spans="8:8" x14ac:dyDescent="0.25">
      <c r="H293" t="s">
        <v>1023</v>
      </c>
    </row>
    <row r="294" spans="8:8" x14ac:dyDescent="0.25">
      <c r="H294" t="s">
        <v>1026</v>
      </c>
    </row>
    <row r="295" spans="8:8" x14ac:dyDescent="0.25">
      <c r="H295" t="s">
        <v>625</v>
      </c>
    </row>
    <row r="296" spans="8:8" x14ac:dyDescent="0.25">
      <c r="H296" t="s">
        <v>1023</v>
      </c>
    </row>
    <row r="298" spans="8:8" x14ac:dyDescent="0.25">
      <c r="H298" t="s">
        <v>162</v>
      </c>
    </row>
    <row r="299" spans="8:8" x14ac:dyDescent="0.25">
      <c r="H299" t="s">
        <v>626</v>
      </c>
    </row>
    <row r="300" spans="8:8" x14ac:dyDescent="0.25">
      <c r="H300" t="s">
        <v>1022</v>
      </c>
    </row>
    <row r="301" spans="8:8" x14ac:dyDescent="0.25">
      <c r="H301" t="s">
        <v>627</v>
      </c>
    </row>
    <row r="302" spans="8:8" x14ac:dyDescent="0.25">
      <c r="H302" t="s">
        <v>1023</v>
      </c>
    </row>
    <row r="303" spans="8:8" x14ac:dyDescent="0.25">
      <c r="H303" t="s">
        <v>1024</v>
      </c>
    </row>
    <row r="304" spans="8:8" x14ac:dyDescent="0.25">
      <c r="H304" t="s">
        <v>628</v>
      </c>
    </row>
    <row r="305" spans="8:8" x14ac:dyDescent="0.25">
      <c r="H305" t="s">
        <v>1023</v>
      </c>
    </row>
    <row r="306" spans="8:8" x14ac:dyDescent="0.25">
      <c r="H306" t="s">
        <v>1025</v>
      </c>
    </row>
    <row r="307" spans="8:8" x14ac:dyDescent="0.25">
      <c r="H307" t="s">
        <v>629</v>
      </c>
    </row>
    <row r="308" spans="8:8" x14ac:dyDescent="0.25">
      <c r="H308" t="s">
        <v>1023</v>
      </c>
    </row>
    <row r="309" spans="8:8" x14ac:dyDescent="0.25">
      <c r="H309" t="s">
        <v>1026</v>
      </c>
    </row>
    <row r="310" spans="8:8" x14ac:dyDescent="0.25">
      <c r="H310" t="s">
        <v>630</v>
      </c>
    </row>
    <row r="311" spans="8:8" x14ac:dyDescent="0.25">
      <c r="H311" t="s">
        <v>1023</v>
      </c>
    </row>
    <row r="313" spans="8:8" x14ac:dyDescent="0.25">
      <c r="H313" t="s">
        <v>163</v>
      </c>
    </row>
    <row r="314" spans="8:8" x14ac:dyDescent="0.25">
      <c r="H314" t="s">
        <v>631</v>
      </c>
    </row>
    <row r="315" spans="8:8" x14ac:dyDescent="0.25">
      <c r="H315" t="s">
        <v>1022</v>
      </c>
    </row>
    <row r="316" spans="8:8" x14ac:dyDescent="0.25">
      <c r="H316" t="s">
        <v>632</v>
      </c>
    </row>
    <row r="317" spans="8:8" x14ac:dyDescent="0.25">
      <c r="H317" t="s">
        <v>1023</v>
      </c>
    </row>
    <row r="319" spans="8:8" x14ac:dyDescent="0.25">
      <c r="H319" t="s">
        <v>164</v>
      </c>
    </row>
    <row r="320" spans="8:8" x14ac:dyDescent="0.25">
      <c r="H320" t="s">
        <v>633</v>
      </c>
    </row>
    <row r="321" spans="8:8" x14ac:dyDescent="0.25">
      <c r="H321" t="s">
        <v>1022</v>
      </c>
    </row>
    <row r="322" spans="8:8" x14ac:dyDescent="0.25">
      <c r="H322" t="s">
        <v>634</v>
      </c>
    </row>
    <row r="323" spans="8:8" x14ac:dyDescent="0.25">
      <c r="H323" t="s">
        <v>1023</v>
      </c>
    </row>
    <row r="325" spans="8:8" x14ac:dyDescent="0.25">
      <c r="H325" t="s">
        <v>165</v>
      </c>
    </row>
    <row r="326" spans="8:8" x14ac:dyDescent="0.25">
      <c r="H326" t="s">
        <v>635</v>
      </c>
    </row>
    <row r="327" spans="8:8" x14ac:dyDescent="0.25">
      <c r="H327" t="s">
        <v>1022</v>
      </c>
    </row>
    <row r="328" spans="8:8" x14ac:dyDescent="0.25">
      <c r="H328" t="s">
        <v>636</v>
      </c>
    </row>
    <row r="329" spans="8:8" x14ac:dyDescent="0.25">
      <c r="H329" t="s">
        <v>1023</v>
      </c>
    </row>
    <row r="330" spans="8:8" x14ac:dyDescent="0.25">
      <c r="H330" t="s">
        <v>1024</v>
      </c>
    </row>
    <row r="331" spans="8:8" x14ac:dyDescent="0.25">
      <c r="H331" t="s">
        <v>637</v>
      </c>
    </row>
    <row r="332" spans="8:8" x14ac:dyDescent="0.25">
      <c r="H332" t="s">
        <v>1023</v>
      </c>
    </row>
    <row r="333" spans="8:8" x14ac:dyDescent="0.25">
      <c r="H333" t="s">
        <v>1025</v>
      </c>
    </row>
    <row r="334" spans="8:8" x14ac:dyDescent="0.25">
      <c r="H334" t="s">
        <v>638</v>
      </c>
    </row>
    <row r="335" spans="8:8" x14ac:dyDescent="0.25">
      <c r="H335" t="s">
        <v>1023</v>
      </c>
    </row>
    <row r="336" spans="8:8" x14ac:dyDescent="0.25">
      <c r="H336" t="s">
        <v>1026</v>
      </c>
    </row>
    <row r="337" spans="8:8" x14ac:dyDescent="0.25">
      <c r="H337" t="s">
        <v>639</v>
      </c>
    </row>
    <row r="338" spans="8:8" x14ac:dyDescent="0.25">
      <c r="H338" t="s">
        <v>1023</v>
      </c>
    </row>
    <row r="340" spans="8:8" x14ac:dyDescent="0.25">
      <c r="H340" t="s">
        <v>166</v>
      </c>
    </row>
    <row r="341" spans="8:8" x14ac:dyDescent="0.25">
      <c r="H341" t="s">
        <v>640</v>
      </c>
    </row>
    <row r="342" spans="8:8" x14ac:dyDescent="0.25">
      <c r="H342" t="s">
        <v>1022</v>
      </c>
    </row>
    <row r="343" spans="8:8" x14ac:dyDescent="0.25">
      <c r="H343" t="s">
        <v>641</v>
      </c>
    </row>
    <row r="344" spans="8:8" x14ac:dyDescent="0.25">
      <c r="H344" t="s">
        <v>1023</v>
      </c>
    </row>
    <row r="346" spans="8:8" x14ac:dyDescent="0.25">
      <c r="H346" t="s">
        <v>167</v>
      </c>
    </row>
    <row r="347" spans="8:8" x14ac:dyDescent="0.25">
      <c r="H347" t="s">
        <v>642</v>
      </c>
    </row>
    <row r="348" spans="8:8" x14ac:dyDescent="0.25">
      <c r="H348" t="s">
        <v>1022</v>
      </c>
    </row>
    <row r="349" spans="8:8" x14ac:dyDescent="0.25">
      <c r="H349" t="s">
        <v>643</v>
      </c>
    </row>
    <row r="350" spans="8:8" x14ac:dyDescent="0.25">
      <c r="H350" t="s">
        <v>1023</v>
      </c>
    </row>
    <row r="352" spans="8:8" x14ac:dyDescent="0.25">
      <c r="H352" t="s">
        <v>168</v>
      </c>
    </row>
    <row r="353" spans="8:8" x14ac:dyDescent="0.25">
      <c r="H353" t="s">
        <v>644</v>
      </c>
    </row>
    <row r="354" spans="8:8" x14ac:dyDescent="0.25">
      <c r="H354" t="s">
        <v>1022</v>
      </c>
    </row>
    <row r="355" spans="8:8" x14ac:dyDescent="0.25">
      <c r="H355" t="s">
        <v>645</v>
      </c>
    </row>
    <row r="356" spans="8:8" x14ac:dyDescent="0.25">
      <c r="H356" t="s">
        <v>1023</v>
      </c>
    </row>
    <row r="358" spans="8:8" x14ac:dyDescent="0.25">
      <c r="H358" t="s">
        <v>169</v>
      </c>
    </row>
    <row r="359" spans="8:8" x14ac:dyDescent="0.25">
      <c r="H359" t="s">
        <v>646</v>
      </c>
    </row>
    <row r="360" spans="8:8" x14ac:dyDescent="0.25">
      <c r="H360" t="s">
        <v>1022</v>
      </c>
    </row>
    <row r="361" spans="8:8" x14ac:dyDescent="0.25">
      <c r="H361" t="s">
        <v>647</v>
      </c>
    </row>
    <row r="362" spans="8:8" x14ac:dyDescent="0.25">
      <c r="H362" t="s">
        <v>1023</v>
      </c>
    </row>
    <row r="364" spans="8:8" x14ac:dyDescent="0.25">
      <c r="H364" t="s">
        <v>170</v>
      </c>
    </row>
    <row r="365" spans="8:8" x14ac:dyDescent="0.25">
      <c r="H365" t="s">
        <v>648</v>
      </c>
    </row>
    <row r="366" spans="8:8" x14ac:dyDescent="0.25">
      <c r="H366" t="s">
        <v>1022</v>
      </c>
    </row>
    <row r="367" spans="8:8" x14ac:dyDescent="0.25">
      <c r="H367" t="s">
        <v>649</v>
      </c>
    </row>
    <row r="368" spans="8:8" x14ac:dyDescent="0.25">
      <c r="H368" t="s">
        <v>1023</v>
      </c>
    </row>
    <row r="370" spans="8:8" x14ac:dyDescent="0.25">
      <c r="H370" t="s">
        <v>171</v>
      </c>
    </row>
    <row r="371" spans="8:8" x14ac:dyDescent="0.25">
      <c r="H371" t="s">
        <v>998</v>
      </c>
    </row>
    <row r="372" spans="8:8" x14ac:dyDescent="0.25">
      <c r="H372" t="s">
        <v>1022</v>
      </c>
    </row>
    <row r="373" spans="8:8" x14ac:dyDescent="0.25">
      <c r="H373" t="s">
        <v>999</v>
      </c>
    </row>
    <row r="374" spans="8:8" x14ac:dyDescent="0.25">
      <c r="H374" t="s">
        <v>1023</v>
      </c>
    </row>
    <row r="376" spans="8:8" x14ac:dyDescent="0.25">
      <c r="H376" t="s">
        <v>172</v>
      </c>
    </row>
    <row r="377" spans="8:8" x14ac:dyDescent="0.25">
      <c r="H377" t="s">
        <v>1000</v>
      </c>
    </row>
    <row r="378" spans="8:8" x14ac:dyDescent="0.25">
      <c r="H378" t="s">
        <v>1022</v>
      </c>
    </row>
    <row r="379" spans="8:8" x14ac:dyDescent="0.25">
      <c r="H379" t="s">
        <v>1001</v>
      </c>
    </row>
    <row r="380" spans="8:8" x14ac:dyDescent="0.25">
      <c r="H380" t="s">
        <v>1023</v>
      </c>
    </row>
    <row r="382" spans="8:8" x14ac:dyDescent="0.25">
      <c r="H382" t="s">
        <v>173</v>
      </c>
    </row>
    <row r="383" spans="8:8" x14ac:dyDescent="0.25">
      <c r="H383" t="s">
        <v>650</v>
      </c>
    </row>
    <row r="384" spans="8:8" x14ac:dyDescent="0.25">
      <c r="H384" t="s">
        <v>1022</v>
      </c>
    </row>
    <row r="385" spans="8:8" x14ac:dyDescent="0.25">
      <c r="H385" t="s">
        <v>651</v>
      </c>
    </row>
    <row r="386" spans="8:8" x14ac:dyDescent="0.25">
      <c r="H386" t="s">
        <v>1023</v>
      </c>
    </row>
    <row r="388" spans="8:8" x14ac:dyDescent="0.25">
      <c r="H388" t="s">
        <v>174</v>
      </c>
    </row>
    <row r="389" spans="8:8" x14ac:dyDescent="0.25">
      <c r="H389" t="s">
        <v>652</v>
      </c>
    </row>
    <row r="390" spans="8:8" x14ac:dyDescent="0.25">
      <c r="H390" t="s">
        <v>1022</v>
      </c>
    </row>
    <row r="391" spans="8:8" x14ac:dyDescent="0.25">
      <c r="H391" t="s">
        <v>653</v>
      </c>
    </row>
    <row r="392" spans="8:8" x14ac:dyDescent="0.25">
      <c r="H392" t="s">
        <v>1023</v>
      </c>
    </row>
    <row r="394" spans="8:8" x14ac:dyDescent="0.25">
      <c r="H394" t="s">
        <v>175</v>
      </c>
    </row>
    <row r="395" spans="8:8" x14ac:dyDescent="0.25">
      <c r="H395" t="s">
        <v>654</v>
      </c>
    </row>
    <row r="396" spans="8:8" x14ac:dyDescent="0.25">
      <c r="H396" t="s">
        <v>1022</v>
      </c>
    </row>
    <row r="397" spans="8:8" x14ac:dyDescent="0.25">
      <c r="H397" t="s">
        <v>655</v>
      </c>
    </row>
    <row r="398" spans="8:8" x14ac:dyDescent="0.25">
      <c r="H398" t="s">
        <v>1023</v>
      </c>
    </row>
    <row r="400" spans="8:8" x14ac:dyDescent="0.25">
      <c r="H400" t="s">
        <v>176</v>
      </c>
    </row>
    <row r="401" spans="8:8" x14ac:dyDescent="0.25">
      <c r="H401" t="s">
        <v>656</v>
      </c>
    </row>
    <row r="402" spans="8:8" x14ac:dyDescent="0.25">
      <c r="H402" t="s">
        <v>1022</v>
      </c>
    </row>
    <row r="403" spans="8:8" x14ac:dyDescent="0.25">
      <c r="H403" t="s">
        <v>657</v>
      </c>
    </row>
    <row r="404" spans="8:8" x14ac:dyDescent="0.25">
      <c r="H404" t="s">
        <v>1023</v>
      </c>
    </row>
    <row r="406" spans="8:8" x14ac:dyDescent="0.25">
      <c r="H406" t="s">
        <v>177</v>
      </c>
    </row>
    <row r="407" spans="8:8" x14ac:dyDescent="0.25">
      <c r="H407" t="s">
        <v>658</v>
      </c>
    </row>
    <row r="408" spans="8:8" x14ac:dyDescent="0.25">
      <c r="H408" t="s">
        <v>1022</v>
      </c>
    </row>
    <row r="409" spans="8:8" x14ac:dyDescent="0.25">
      <c r="H409" t="s">
        <v>659</v>
      </c>
    </row>
    <row r="410" spans="8:8" x14ac:dyDescent="0.25">
      <c r="H410" t="s">
        <v>1023</v>
      </c>
    </row>
    <row r="412" spans="8:8" x14ac:dyDescent="0.25">
      <c r="H412" t="s">
        <v>178</v>
      </c>
    </row>
    <row r="413" spans="8:8" x14ac:dyDescent="0.25">
      <c r="H413" t="s">
        <v>660</v>
      </c>
    </row>
    <row r="414" spans="8:8" x14ac:dyDescent="0.25">
      <c r="H414" t="s">
        <v>1022</v>
      </c>
    </row>
    <row r="415" spans="8:8" x14ac:dyDescent="0.25">
      <c r="H415" t="s">
        <v>661</v>
      </c>
    </row>
    <row r="416" spans="8:8" x14ac:dyDescent="0.25">
      <c r="H416" t="s">
        <v>1023</v>
      </c>
    </row>
    <row r="418" spans="8:8" x14ac:dyDescent="0.25">
      <c r="H418" t="s">
        <v>179</v>
      </c>
    </row>
    <row r="419" spans="8:8" x14ac:dyDescent="0.25">
      <c r="H419" t="s">
        <v>662</v>
      </c>
    </row>
    <row r="420" spans="8:8" x14ac:dyDescent="0.25">
      <c r="H420" t="s">
        <v>1022</v>
      </c>
    </row>
    <row r="421" spans="8:8" x14ac:dyDescent="0.25">
      <c r="H421" t="s">
        <v>663</v>
      </c>
    </row>
    <row r="422" spans="8:8" x14ac:dyDescent="0.25">
      <c r="H422" t="s">
        <v>1023</v>
      </c>
    </row>
    <row r="424" spans="8:8" x14ac:dyDescent="0.25">
      <c r="H424" t="s">
        <v>942</v>
      </c>
    </row>
    <row r="425" spans="8:8" x14ac:dyDescent="0.25">
      <c r="H425" t="s">
        <v>664</v>
      </c>
    </row>
    <row r="426" spans="8:8" x14ac:dyDescent="0.25">
      <c r="H426" t="s">
        <v>1022</v>
      </c>
    </row>
    <row r="427" spans="8:8" x14ac:dyDescent="0.25">
      <c r="H427" t="s">
        <v>665</v>
      </c>
    </row>
    <row r="428" spans="8:8" x14ac:dyDescent="0.25">
      <c r="H428" t="s">
        <v>1023</v>
      </c>
    </row>
    <row r="430" spans="8:8" x14ac:dyDescent="0.25">
      <c r="H430" t="s">
        <v>943</v>
      </c>
    </row>
    <row r="431" spans="8:8" x14ac:dyDescent="0.25">
      <c r="H431" t="s">
        <v>666</v>
      </c>
    </row>
    <row r="432" spans="8:8" x14ac:dyDescent="0.25">
      <c r="H432" t="s">
        <v>1022</v>
      </c>
    </row>
    <row r="433" spans="8:8" x14ac:dyDescent="0.25">
      <c r="H433" t="s">
        <v>667</v>
      </c>
    </row>
    <row r="434" spans="8:8" x14ac:dyDescent="0.25">
      <c r="H434" t="s">
        <v>1023</v>
      </c>
    </row>
    <row r="436" spans="8:8" x14ac:dyDescent="0.25">
      <c r="H436" t="s">
        <v>1002</v>
      </c>
    </row>
    <row r="437" spans="8:8" x14ac:dyDescent="0.25">
      <c r="H437" t="s">
        <v>1003</v>
      </c>
    </row>
    <row r="438" spans="8:8" x14ac:dyDescent="0.25">
      <c r="H438" t="s">
        <v>1022</v>
      </c>
    </row>
    <row r="439" spans="8:8" x14ac:dyDescent="0.25">
      <c r="H439" t="s">
        <v>1004</v>
      </c>
    </row>
    <row r="440" spans="8:8" x14ac:dyDescent="0.25">
      <c r="H440" t="s">
        <v>1023</v>
      </c>
    </row>
    <row r="442" spans="8:8" x14ac:dyDescent="0.25">
      <c r="H442" t="s">
        <v>1005</v>
      </c>
    </row>
    <row r="443" spans="8:8" x14ac:dyDescent="0.25">
      <c r="H443" t="s">
        <v>1006</v>
      </c>
    </row>
    <row r="444" spans="8:8" x14ac:dyDescent="0.25">
      <c r="H444" t="s">
        <v>1022</v>
      </c>
    </row>
    <row r="445" spans="8:8" x14ac:dyDescent="0.25">
      <c r="H445" t="s">
        <v>1007</v>
      </c>
    </row>
    <row r="446" spans="8:8" x14ac:dyDescent="0.25">
      <c r="H446" t="s">
        <v>1023</v>
      </c>
    </row>
    <row r="448" spans="8:8" x14ac:dyDescent="0.25">
      <c r="H448" t="s">
        <v>1008</v>
      </c>
    </row>
    <row r="449" spans="8:8" x14ac:dyDescent="0.25">
      <c r="H449" t="s">
        <v>1009</v>
      </c>
    </row>
    <row r="450" spans="8:8" x14ac:dyDescent="0.25">
      <c r="H450" t="s">
        <v>1022</v>
      </c>
    </row>
    <row r="451" spans="8:8" x14ac:dyDescent="0.25">
      <c r="H451" t="s">
        <v>1010</v>
      </c>
    </row>
    <row r="452" spans="8:8" x14ac:dyDescent="0.25">
      <c r="H452" t="s">
        <v>1023</v>
      </c>
    </row>
    <row r="454" spans="8:8" x14ac:dyDescent="0.25">
      <c r="H454" t="s">
        <v>1011</v>
      </c>
    </row>
    <row r="455" spans="8:8" x14ac:dyDescent="0.25">
      <c r="H455" t="s">
        <v>1012</v>
      </c>
    </row>
    <row r="456" spans="8:8" x14ac:dyDescent="0.25">
      <c r="H456" t="s">
        <v>1022</v>
      </c>
    </row>
    <row r="457" spans="8:8" x14ac:dyDescent="0.25">
      <c r="H457" t="s">
        <v>1013</v>
      </c>
    </row>
    <row r="458" spans="8:8" x14ac:dyDescent="0.25">
      <c r="H458" t="s">
        <v>1023</v>
      </c>
    </row>
    <row r="460" spans="8:8" x14ac:dyDescent="0.25">
      <c r="H460" t="s">
        <v>1014</v>
      </c>
    </row>
    <row r="461" spans="8:8" x14ac:dyDescent="0.25">
      <c r="H461" t="s">
        <v>1015</v>
      </c>
    </row>
    <row r="462" spans="8:8" x14ac:dyDescent="0.25">
      <c r="H462" t="s">
        <v>1022</v>
      </c>
    </row>
    <row r="463" spans="8:8" x14ac:dyDescent="0.25">
      <c r="H463" t="s">
        <v>1016</v>
      </c>
    </row>
    <row r="464" spans="8:8" x14ac:dyDescent="0.25">
      <c r="H464" t="s">
        <v>1023</v>
      </c>
    </row>
    <row r="466" spans="8:8" x14ac:dyDescent="0.25">
      <c r="H466" t="s">
        <v>1017</v>
      </c>
    </row>
    <row r="467" spans="8:8" x14ac:dyDescent="0.25">
      <c r="H467" t="s">
        <v>1018</v>
      </c>
    </row>
    <row r="468" spans="8:8" x14ac:dyDescent="0.25">
      <c r="H468" t="s">
        <v>1022</v>
      </c>
    </row>
    <row r="469" spans="8:8" x14ac:dyDescent="0.25">
      <c r="H469" t="s">
        <v>1019</v>
      </c>
    </row>
    <row r="470" spans="8:8" x14ac:dyDescent="0.25">
      <c r="H470" t="s">
        <v>1023</v>
      </c>
    </row>
    <row r="472" spans="8:8" x14ac:dyDescent="0.25">
      <c r="H472" t="s">
        <v>1020</v>
      </c>
    </row>
    <row r="473" spans="8:8" x14ac:dyDescent="0.25">
      <c r="H473" t="s">
        <v>668</v>
      </c>
    </row>
    <row r="474" spans="8:8" x14ac:dyDescent="0.25">
      <c r="H474" t="s">
        <v>1022</v>
      </c>
    </row>
    <row r="475" spans="8:8" x14ac:dyDescent="0.25">
      <c r="H475" t="s">
        <v>669</v>
      </c>
    </row>
    <row r="476" spans="8:8" x14ac:dyDescent="0.25">
      <c r="H476" t="s">
        <v>1023</v>
      </c>
    </row>
    <row r="477" spans="8:8" x14ac:dyDescent="0.25">
      <c r="H477" t="s">
        <v>1024</v>
      </c>
    </row>
    <row r="478" spans="8:8" x14ac:dyDescent="0.25">
      <c r="H478" t="s">
        <v>670</v>
      </c>
    </row>
    <row r="479" spans="8:8" x14ac:dyDescent="0.25">
      <c r="H479" t="s">
        <v>1023</v>
      </c>
    </row>
    <row r="480" spans="8:8" x14ac:dyDescent="0.25">
      <c r="H480" t="s">
        <v>1025</v>
      </c>
    </row>
    <row r="481" spans="8:8" x14ac:dyDescent="0.25">
      <c r="H481" t="s">
        <v>671</v>
      </c>
    </row>
    <row r="482" spans="8:8" x14ac:dyDescent="0.25">
      <c r="H482" t="s">
        <v>1023</v>
      </c>
    </row>
    <row r="483" spans="8:8" x14ac:dyDescent="0.25">
      <c r="H483" t="s">
        <v>1026</v>
      </c>
    </row>
    <row r="484" spans="8:8" x14ac:dyDescent="0.25">
      <c r="H484" t="s">
        <v>672</v>
      </c>
    </row>
    <row r="485" spans="8:8" x14ac:dyDescent="0.25">
      <c r="H485" t="s">
        <v>1023</v>
      </c>
    </row>
    <row r="487" spans="8:8" x14ac:dyDescent="0.25">
      <c r="H487" t="s">
        <v>1021</v>
      </c>
    </row>
    <row r="488" spans="8:8" x14ac:dyDescent="0.25">
      <c r="H488" t="s">
        <v>673</v>
      </c>
    </row>
    <row r="489" spans="8:8" x14ac:dyDescent="0.25">
      <c r="H489" t="s">
        <v>1022</v>
      </c>
    </row>
    <row r="490" spans="8:8" x14ac:dyDescent="0.25">
      <c r="H490" t="s">
        <v>674</v>
      </c>
    </row>
    <row r="491" spans="8:8" x14ac:dyDescent="0.25">
      <c r="H491" t="s">
        <v>1023</v>
      </c>
    </row>
    <row r="492" spans="8:8" x14ac:dyDescent="0.25">
      <c r="H492" t="s">
        <v>1024</v>
      </c>
    </row>
    <row r="493" spans="8:8" x14ac:dyDescent="0.25">
      <c r="H493" t="s">
        <v>675</v>
      </c>
    </row>
    <row r="494" spans="8:8" x14ac:dyDescent="0.25">
      <c r="H494" t="s">
        <v>1023</v>
      </c>
    </row>
    <row r="495" spans="8:8" x14ac:dyDescent="0.25">
      <c r="H495" t="s">
        <v>1025</v>
      </c>
    </row>
    <row r="496" spans="8:8" x14ac:dyDescent="0.25">
      <c r="H496" t="s">
        <v>676</v>
      </c>
    </row>
    <row r="497" spans="8:8" x14ac:dyDescent="0.25">
      <c r="H497" t="s">
        <v>1023</v>
      </c>
    </row>
    <row r="498" spans="8:8" x14ac:dyDescent="0.25">
      <c r="H498" t="s">
        <v>1026</v>
      </c>
    </row>
    <row r="499" spans="8:8" x14ac:dyDescent="0.25">
      <c r="H499" t="s">
        <v>677</v>
      </c>
    </row>
    <row r="500" spans="8:8" x14ac:dyDescent="0.25">
      <c r="H500" t="s">
        <v>1023</v>
      </c>
    </row>
    <row r="502" spans="8:8" x14ac:dyDescent="0.25">
      <c r="H502" t="s">
        <v>29</v>
      </c>
    </row>
    <row r="503" spans="8:8" x14ac:dyDescent="0.25">
      <c r="H503" t="s">
        <v>116</v>
      </c>
    </row>
    <row r="504" spans="8:8" x14ac:dyDescent="0.25">
      <c r="H504" t="s">
        <v>678</v>
      </c>
    </row>
    <row r="506" spans="8:8" x14ac:dyDescent="0.25">
      <c r="H506" t="s">
        <v>30</v>
      </c>
    </row>
    <row r="507" spans="8:8" x14ac:dyDescent="0.25">
      <c r="H507" s="13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38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39</v>
      </c>
    </row>
    <row r="3" spans="1:8" x14ac:dyDescent="0.25">
      <c r="B3" t="s">
        <v>418</v>
      </c>
      <c r="H3" t="s">
        <v>37</v>
      </c>
    </row>
    <row r="4" spans="1:8" x14ac:dyDescent="0.25">
      <c r="H4" t="s">
        <v>679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415</v>
      </c>
    </row>
    <row r="7" spans="1:8" x14ac:dyDescent="0.25">
      <c r="H7" t="s">
        <v>128</v>
      </c>
    </row>
    <row r="8" spans="1:8" x14ac:dyDescent="0.25">
      <c r="B8" s="1" t="s">
        <v>20</v>
      </c>
      <c r="H8" t="s">
        <v>537</v>
      </c>
    </row>
    <row r="9" spans="1:8" x14ac:dyDescent="0.25">
      <c r="B9" t="s">
        <v>414</v>
      </c>
      <c r="H9" t="s">
        <v>1022</v>
      </c>
    </row>
    <row r="10" spans="1:8" x14ac:dyDescent="0.25">
      <c r="H10" t="s">
        <v>680</v>
      </c>
    </row>
    <row r="11" spans="1:8" x14ac:dyDescent="0.25">
      <c r="B11" s="1" t="s">
        <v>13</v>
      </c>
      <c r="H11" t="s">
        <v>1023</v>
      </c>
    </row>
    <row r="12" spans="1:8" x14ac:dyDescent="0.25">
      <c r="B12" t="s">
        <v>15</v>
      </c>
    </row>
    <row r="13" spans="1:8" x14ac:dyDescent="0.25">
      <c r="H13" t="s">
        <v>129</v>
      </c>
    </row>
    <row r="14" spans="1:8" x14ac:dyDescent="0.25">
      <c r="B14" s="1" t="s">
        <v>35</v>
      </c>
      <c r="H14" t="s">
        <v>539</v>
      </c>
    </row>
    <row r="15" spans="1:8" x14ac:dyDescent="0.25">
      <c r="B15" t="s">
        <v>34</v>
      </c>
      <c r="H15" t="s">
        <v>1022</v>
      </c>
    </row>
    <row r="16" spans="1:8" x14ac:dyDescent="0.25">
      <c r="H16" t="s">
        <v>681</v>
      </c>
    </row>
    <row r="17" spans="2:8" x14ac:dyDescent="0.25">
      <c r="B17" s="1" t="s">
        <v>21</v>
      </c>
      <c r="H17" t="s">
        <v>1023</v>
      </c>
    </row>
    <row r="18" spans="2:8" x14ac:dyDescent="0.25">
      <c r="B18" t="s">
        <v>417</v>
      </c>
    </row>
    <row r="19" spans="2:8" x14ac:dyDescent="0.25">
      <c r="H19" t="s">
        <v>130</v>
      </c>
    </row>
    <row r="20" spans="2:8" x14ac:dyDescent="0.25">
      <c r="B20" s="1"/>
      <c r="H20" t="s">
        <v>541</v>
      </c>
    </row>
    <row r="21" spans="2:8" x14ac:dyDescent="0.25">
      <c r="H21" t="s">
        <v>1022</v>
      </c>
    </row>
    <row r="22" spans="2:8" x14ac:dyDescent="0.25">
      <c r="H22" t="s">
        <v>682</v>
      </c>
    </row>
    <row r="23" spans="2:8" x14ac:dyDescent="0.25">
      <c r="H23" t="s">
        <v>1023</v>
      </c>
    </row>
    <row r="25" spans="2:8" x14ac:dyDescent="0.25">
      <c r="H25" t="s">
        <v>131</v>
      </c>
    </row>
    <row r="26" spans="2:8" x14ac:dyDescent="0.25">
      <c r="H26" t="s">
        <v>543</v>
      </c>
    </row>
    <row r="27" spans="2:8" x14ac:dyDescent="0.25">
      <c r="H27" t="s">
        <v>1022</v>
      </c>
    </row>
    <row r="28" spans="2:8" x14ac:dyDescent="0.25">
      <c r="H28" t="s">
        <v>683</v>
      </c>
    </row>
    <row r="29" spans="2:8" x14ac:dyDescent="0.25">
      <c r="H29" t="s">
        <v>1023</v>
      </c>
    </row>
    <row r="31" spans="2:8" x14ac:dyDescent="0.25">
      <c r="H31" t="s">
        <v>132</v>
      </c>
    </row>
    <row r="32" spans="2:8" x14ac:dyDescent="0.25">
      <c r="H32" t="s">
        <v>545</v>
      </c>
    </row>
    <row r="33" spans="8:8" x14ac:dyDescent="0.25">
      <c r="H33" t="s">
        <v>1022</v>
      </c>
    </row>
    <row r="34" spans="8:8" x14ac:dyDescent="0.25">
      <c r="H34" t="s">
        <v>684</v>
      </c>
    </row>
    <row r="35" spans="8:8" x14ac:dyDescent="0.25">
      <c r="H35" t="s">
        <v>1023</v>
      </c>
    </row>
    <row r="37" spans="8:8" x14ac:dyDescent="0.25">
      <c r="H37" t="s">
        <v>133</v>
      </c>
    </row>
    <row r="38" spans="8:8" x14ac:dyDescent="0.25">
      <c r="H38" t="s">
        <v>547</v>
      </c>
    </row>
    <row r="39" spans="8:8" x14ac:dyDescent="0.25">
      <c r="H39" t="s">
        <v>1022</v>
      </c>
    </row>
    <row r="40" spans="8:8" x14ac:dyDescent="0.25">
      <c r="H40" t="s">
        <v>685</v>
      </c>
    </row>
    <row r="41" spans="8:8" x14ac:dyDescent="0.25">
      <c r="H41" t="s">
        <v>1023</v>
      </c>
    </row>
    <row r="43" spans="8:8" x14ac:dyDescent="0.25">
      <c r="H43" t="s">
        <v>134</v>
      </c>
    </row>
    <row r="44" spans="8:8" x14ac:dyDescent="0.25">
      <c r="H44" t="s">
        <v>549</v>
      </c>
    </row>
    <row r="45" spans="8:8" x14ac:dyDescent="0.25">
      <c r="H45" t="s">
        <v>1022</v>
      </c>
    </row>
    <row r="46" spans="8:8" x14ac:dyDescent="0.25">
      <c r="H46" t="s">
        <v>686</v>
      </c>
    </row>
    <row r="47" spans="8:8" x14ac:dyDescent="0.25">
      <c r="H47" t="s">
        <v>1023</v>
      </c>
    </row>
    <row r="49" spans="8:8" x14ac:dyDescent="0.25">
      <c r="H49" t="s">
        <v>135</v>
      </c>
    </row>
    <row r="50" spans="8:8" x14ac:dyDescent="0.25">
      <c r="H50" t="s">
        <v>551</v>
      </c>
    </row>
    <row r="51" spans="8:8" x14ac:dyDescent="0.25">
      <c r="H51" t="s">
        <v>1022</v>
      </c>
    </row>
    <row r="52" spans="8:8" x14ac:dyDescent="0.25">
      <c r="H52" t="s">
        <v>687</v>
      </c>
    </row>
    <row r="53" spans="8:8" x14ac:dyDescent="0.25">
      <c r="H53" t="s">
        <v>1023</v>
      </c>
    </row>
    <row r="55" spans="8:8" x14ac:dyDescent="0.25">
      <c r="H55" t="s">
        <v>136</v>
      </c>
    </row>
    <row r="56" spans="8:8" x14ac:dyDescent="0.25">
      <c r="H56" t="s">
        <v>553</v>
      </c>
    </row>
    <row r="57" spans="8:8" x14ac:dyDescent="0.25">
      <c r="H57" t="s">
        <v>1022</v>
      </c>
    </row>
    <row r="58" spans="8:8" x14ac:dyDescent="0.25">
      <c r="H58" t="s">
        <v>688</v>
      </c>
    </row>
    <row r="59" spans="8:8" x14ac:dyDescent="0.25">
      <c r="H59" t="s">
        <v>1023</v>
      </c>
    </row>
    <row r="61" spans="8:8" x14ac:dyDescent="0.25">
      <c r="H61" t="s">
        <v>137</v>
      </c>
    </row>
    <row r="62" spans="8:8" x14ac:dyDescent="0.25">
      <c r="H62" t="s">
        <v>555</v>
      </c>
    </row>
    <row r="63" spans="8:8" x14ac:dyDescent="0.25">
      <c r="H63" t="s">
        <v>1022</v>
      </c>
    </row>
    <row r="64" spans="8:8" x14ac:dyDescent="0.25">
      <c r="H64" t="s">
        <v>689</v>
      </c>
    </row>
    <row r="65" spans="8:8" x14ac:dyDescent="0.25">
      <c r="H65" t="s">
        <v>1023</v>
      </c>
    </row>
    <row r="67" spans="8:8" x14ac:dyDescent="0.25">
      <c r="H67" t="s">
        <v>143</v>
      </c>
    </row>
    <row r="68" spans="8:8" x14ac:dyDescent="0.25">
      <c r="H68" t="s">
        <v>567</v>
      </c>
    </row>
    <row r="69" spans="8:8" x14ac:dyDescent="0.25">
      <c r="H69" t="s">
        <v>1022</v>
      </c>
    </row>
    <row r="70" spans="8:8" x14ac:dyDescent="0.25">
      <c r="H70" t="s">
        <v>690</v>
      </c>
    </row>
    <row r="71" spans="8:8" x14ac:dyDescent="0.25">
      <c r="H71" t="s">
        <v>1023</v>
      </c>
    </row>
    <row r="73" spans="8:8" x14ac:dyDescent="0.25">
      <c r="H73" t="s">
        <v>144</v>
      </c>
    </row>
    <row r="74" spans="8:8" x14ac:dyDescent="0.25">
      <c r="H74" t="s">
        <v>569</v>
      </c>
    </row>
    <row r="75" spans="8:8" x14ac:dyDescent="0.25">
      <c r="H75" t="s">
        <v>1022</v>
      </c>
    </row>
    <row r="76" spans="8:8" x14ac:dyDescent="0.25">
      <c r="H76" t="s">
        <v>691</v>
      </c>
    </row>
    <row r="77" spans="8:8" x14ac:dyDescent="0.25">
      <c r="H77" t="s">
        <v>1023</v>
      </c>
    </row>
    <row r="79" spans="8:8" x14ac:dyDescent="0.25">
      <c r="H79" t="s">
        <v>145</v>
      </c>
    </row>
    <row r="80" spans="8:8" x14ac:dyDescent="0.25">
      <c r="H80" t="s">
        <v>571</v>
      </c>
    </row>
    <row r="81" spans="8:8" x14ac:dyDescent="0.25">
      <c r="H81" t="s">
        <v>1022</v>
      </c>
    </row>
    <row r="82" spans="8:8" x14ac:dyDescent="0.25">
      <c r="H82" t="s">
        <v>692</v>
      </c>
    </row>
    <row r="83" spans="8:8" x14ac:dyDescent="0.25">
      <c r="H83" t="s">
        <v>1023</v>
      </c>
    </row>
    <row r="85" spans="8:8" x14ac:dyDescent="0.25">
      <c r="H85" t="s">
        <v>146</v>
      </c>
    </row>
    <row r="86" spans="8:8" x14ac:dyDescent="0.25">
      <c r="H86" t="s">
        <v>573</v>
      </c>
    </row>
    <row r="87" spans="8:8" x14ac:dyDescent="0.25">
      <c r="H87" t="s">
        <v>1022</v>
      </c>
    </row>
    <row r="88" spans="8:8" x14ac:dyDescent="0.25">
      <c r="H88" t="s">
        <v>693</v>
      </c>
    </row>
    <row r="89" spans="8:8" x14ac:dyDescent="0.25">
      <c r="H89" t="s">
        <v>1023</v>
      </c>
    </row>
    <row r="91" spans="8:8" x14ac:dyDescent="0.25">
      <c r="H91" t="s">
        <v>147</v>
      </c>
    </row>
    <row r="92" spans="8:8" x14ac:dyDescent="0.25">
      <c r="H92" t="s">
        <v>575</v>
      </c>
    </row>
    <row r="93" spans="8:8" x14ac:dyDescent="0.25">
      <c r="H93" t="s">
        <v>1022</v>
      </c>
    </row>
    <row r="94" spans="8:8" x14ac:dyDescent="0.25">
      <c r="H94" t="s">
        <v>694</v>
      </c>
    </row>
    <row r="95" spans="8:8" x14ac:dyDescent="0.25">
      <c r="H95" t="s">
        <v>1023</v>
      </c>
    </row>
    <row r="97" spans="8:8" x14ac:dyDescent="0.25">
      <c r="H97" t="s">
        <v>148</v>
      </c>
    </row>
    <row r="98" spans="8:8" x14ac:dyDescent="0.25">
      <c r="H98" t="s">
        <v>577</v>
      </c>
    </row>
    <row r="99" spans="8:8" x14ac:dyDescent="0.25">
      <c r="H99" t="s">
        <v>1022</v>
      </c>
    </row>
    <row r="100" spans="8:8" x14ac:dyDescent="0.25">
      <c r="H100" t="s">
        <v>695</v>
      </c>
    </row>
    <row r="101" spans="8:8" x14ac:dyDescent="0.25">
      <c r="H101" t="s">
        <v>1023</v>
      </c>
    </row>
    <row r="103" spans="8:8" x14ac:dyDescent="0.25">
      <c r="H103" t="s">
        <v>149</v>
      </c>
    </row>
    <row r="104" spans="8:8" x14ac:dyDescent="0.25">
      <c r="H104" t="s">
        <v>579</v>
      </c>
    </row>
    <row r="105" spans="8:8" x14ac:dyDescent="0.25">
      <c r="H105" t="s">
        <v>1022</v>
      </c>
    </row>
    <row r="106" spans="8:8" x14ac:dyDescent="0.25">
      <c r="H106" t="s">
        <v>696</v>
      </c>
    </row>
    <row r="107" spans="8:8" x14ac:dyDescent="0.25">
      <c r="H107" t="s">
        <v>1023</v>
      </c>
    </row>
    <row r="109" spans="8:8" x14ac:dyDescent="0.25">
      <c r="H109" t="s">
        <v>150</v>
      </c>
    </row>
    <row r="110" spans="8:8" x14ac:dyDescent="0.25">
      <c r="H110" t="s">
        <v>581</v>
      </c>
    </row>
    <row r="111" spans="8:8" x14ac:dyDescent="0.25">
      <c r="H111" t="s">
        <v>1022</v>
      </c>
    </row>
    <row r="112" spans="8:8" x14ac:dyDescent="0.25">
      <c r="H112" t="s">
        <v>697</v>
      </c>
    </row>
    <row r="113" spans="8:8" x14ac:dyDescent="0.25">
      <c r="H113" t="s">
        <v>1023</v>
      </c>
    </row>
    <row r="115" spans="8:8" x14ac:dyDescent="0.25">
      <c r="H115" t="s">
        <v>155</v>
      </c>
    </row>
    <row r="116" spans="8:8" x14ac:dyDescent="0.25">
      <c r="H116" t="s">
        <v>591</v>
      </c>
    </row>
    <row r="117" spans="8:8" x14ac:dyDescent="0.25">
      <c r="H117" t="s">
        <v>1022</v>
      </c>
    </row>
    <row r="118" spans="8:8" x14ac:dyDescent="0.25">
      <c r="H118" t="s">
        <v>698</v>
      </c>
    </row>
    <row r="119" spans="8:8" x14ac:dyDescent="0.25">
      <c r="H119" t="s">
        <v>1023</v>
      </c>
    </row>
    <row r="120" spans="8:8" x14ac:dyDescent="0.25">
      <c r="H120" t="s">
        <v>1024</v>
      </c>
    </row>
    <row r="121" spans="8:8" x14ac:dyDescent="0.25">
      <c r="H121" t="s">
        <v>699</v>
      </c>
    </row>
    <row r="122" spans="8:8" x14ac:dyDescent="0.25">
      <c r="H122" t="s">
        <v>1023</v>
      </c>
    </row>
    <row r="123" spans="8:8" x14ac:dyDescent="0.25">
      <c r="H123" t="s">
        <v>1025</v>
      </c>
    </row>
    <row r="124" spans="8:8" x14ac:dyDescent="0.25">
      <c r="H124" t="s">
        <v>700</v>
      </c>
    </row>
    <row r="125" spans="8:8" x14ac:dyDescent="0.25">
      <c r="H125" t="s">
        <v>1023</v>
      </c>
    </row>
    <row r="126" spans="8:8" x14ac:dyDescent="0.25">
      <c r="H126" t="s">
        <v>1026</v>
      </c>
    </row>
    <row r="127" spans="8:8" x14ac:dyDescent="0.25">
      <c r="H127" t="s">
        <v>701</v>
      </c>
    </row>
    <row r="128" spans="8:8" x14ac:dyDescent="0.25">
      <c r="H128" t="s">
        <v>1023</v>
      </c>
    </row>
    <row r="130" spans="8:8" x14ac:dyDescent="0.25">
      <c r="H130" t="s">
        <v>156</v>
      </c>
    </row>
    <row r="131" spans="8:8" x14ac:dyDescent="0.25">
      <c r="H131" t="s">
        <v>596</v>
      </c>
    </row>
    <row r="132" spans="8:8" x14ac:dyDescent="0.25">
      <c r="H132" t="s">
        <v>1022</v>
      </c>
    </row>
    <row r="133" spans="8:8" x14ac:dyDescent="0.25">
      <c r="H133" t="s">
        <v>702</v>
      </c>
    </row>
    <row r="134" spans="8:8" x14ac:dyDescent="0.25">
      <c r="H134" t="s">
        <v>1023</v>
      </c>
    </row>
    <row r="135" spans="8:8" x14ac:dyDescent="0.25">
      <c r="H135" t="s">
        <v>1024</v>
      </c>
    </row>
    <row r="136" spans="8:8" x14ac:dyDescent="0.25">
      <c r="H136" t="s">
        <v>703</v>
      </c>
    </row>
    <row r="137" spans="8:8" x14ac:dyDescent="0.25">
      <c r="H137" t="s">
        <v>1023</v>
      </c>
    </row>
    <row r="138" spans="8:8" x14ac:dyDescent="0.25">
      <c r="H138" t="s">
        <v>1025</v>
      </c>
    </row>
    <row r="139" spans="8:8" x14ac:dyDescent="0.25">
      <c r="H139" t="s">
        <v>704</v>
      </c>
    </row>
    <row r="140" spans="8:8" x14ac:dyDescent="0.25">
      <c r="H140" t="s">
        <v>1023</v>
      </c>
    </row>
    <row r="141" spans="8:8" x14ac:dyDescent="0.25">
      <c r="H141" t="s">
        <v>1026</v>
      </c>
    </row>
    <row r="142" spans="8:8" x14ac:dyDescent="0.25">
      <c r="H142" t="s">
        <v>705</v>
      </c>
    </row>
    <row r="143" spans="8:8" x14ac:dyDescent="0.25">
      <c r="H143" t="s">
        <v>1023</v>
      </c>
    </row>
    <row r="145" spans="8:8" x14ac:dyDescent="0.25">
      <c r="H145" t="s">
        <v>157</v>
      </c>
    </row>
    <row r="146" spans="8:8" x14ac:dyDescent="0.25">
      <c r="H146" t="s">
        <v>601</v>
      </c>
    </row>
    <row r="147" spans="8:8" x14ac:dyDescent="0.25">
      <c r="H147" t="s">
        <v>1022</v>
      </c>
    </row>
    <row r="148" spans="8:8" x14ac:dyDescent="0.25">
      <c r="H148" t="s">
        <v>706</v>
      </c>
    </row>
    <row r="149" spans="8:8" x14ac:dyDescent="0.25">
      <c r="H149" t="s">
        <v>1023</v>
      </c>
    </row>
    <row r="150" spans="8:8" x14ac:dyDescent="0.25">
      <c r="H150" t="s">
        <v>1024</v>
      </c>
    </row>
    <row r="151" spans="8:8" x14ac:dyDescent="0.25">
      <c r="H151" t="s">
        <v>707</v>
      </c>
    </row>
    <row r="152" spans="8:8" x14ac:dyDescent="0.25">
      <c r="H152" t="s">
        <v>1023</v>
      </c>
    </row>
    <row r="153" spans="8:8" x14ac:dyDescent="0.25">
      <c r="H153" t="s">
        <v>1025</v>
      </c>
    </row>
    <row r="154" spans="8:8" x14ac:dyDescent="0.25">
      <c r="H154" t="s">
        <v>708</v>
      </c>
    </row>
    <row r="155" spans="8:8" x14ac:dyDescent="0.25">
      <c r="H155" t="s">
        <v>1023</v>
      </c>
    </row>
    <row r="156" spans="8:8" x14ac:dyDescent="0.25">
      <c r="H156" t="s">
        <v>1026</v>
      </c>
    </row>
    <row r="157" spans="8:8" x14ac:dyDescent="0.25">
      <c r="H157" t="s">
        <v>709</v>
      </c>
    </row>
    <row r="158" spans="8:8" x14ac:dyDescent="0.25">
      <c r="H158" t="s">
        <v>1023</v>
      </c>
    </row>
    <row r="160" spans="8:8" x14ac:dyDescent="0.25">
      <c r="H160" t="s">
        <v>158</v>
      </c>
    </row>
    <row r="161" spans="8:8" x14ac:dyDescent="0.25">
      <c r="H161" t="s">
        <v>606</v>
      </c>
    </row>
    <row r="162" spans="8:8" x14ac:dyDescent="0.25">
      <c r="H162" t="s">
        <v>1022</v>
      </c>
    </row>
    <row r="163" spans="8:8" x14ac:dyDescent="0.25">
      <c r="H163" t="s">
        <v>710</v>
      </c>
    </row>
    <row r="164" spans="8:8" x14ac:dyDescent="0.25">
      <c r="H164" t="s">
        <v>1023</v>
      </c>
    </row>
    <row r="165" spans="8:8" x14ac:dyDescent="0.25">
      <c r="H165" t="s">
        <v>1024</v>
      </c>
    </row>
    <row r="166" spans="8:8" x14ac:dyDescent="0.25">
      <c r="H166" t="s">
        <v>711</v>
      </c>
    </row>
    <row r="167" spans="8:8" x14ac:dyDescent="0.25">
      <c r="H167" t="s">
        <v>1023</v>
      </c>
    </row>
    <row r="168" spans="8:8" x14ac:dyDescent="0.25">
      <c r="H168" t="s">
        <v>1025</v>
      </c>
    </row>
    <row r="169" spans="8:8" x14ac:dyDescent="0.25">
      <c r="H169" t="s">
        <v>712</v>
      </c>
    </row>
    <row r="170" spans="8:8" x14ac:dyDescent="0.25">
      <c r="H170" t="s">
        <v>1023</v>
      </c>
    </row>
    <row r="171" spans="8:8" x14ac:dyDescent="0.25">
      <c r="H171" t="s">
        <v>1026</v>
      </c>
    </row>
    <row r="172" spans="8:8" x14ac:dyDescent="0.25">
      <c r="H172" t="s">
        <v>713</v>
      </c>
    </row>
    <row r="173" spans="8:8" x14ac:dyDescent="0.25">
      <c r="H173" t="s">
        <v>1023</v>
      </c>
    </row>
    <row r="175" spans="8:8" x14ac:dyDescent="0.25">
      <c r="H175" t="s">
        <v>159</v>
      </c>
    </row>
    <row r="176" spans="8:8" x14ac:dyDescent="0.25">
      <c r="H176" t="s">
        <v>611</v>
      </c>
    </row>
    <row r="177" spans="8:8" x14ac:dyDescent="0.25">
      <c r="H177" t="s">
        <v>1022</v>
      </c>
    </row>
    <row r="178" spans="8:8" x14ac:dyDescent="0.25">
      <c r="H178" t="s">
        <v>714</v>
      </c>
    </row>
    <row r="179" spans="8:8" x14ac:dyDescent="0.25">
      <c r="H179" t="s">
        <v>1023</v>
      </c>
    </row>
    <row r="180" spans="8:8" x14ac:dyDescent="0.25">
      <c r="H180" t="s">
        <v>1024</v>
      </c>
    </row>
    <row r="181" spans="8:8" x14ac:dyDescent="0.25">
      <c r="H181" t="s">
        <v>715</v>
      </c>
    </row>
    <row r="182" spans="8:8" x14ac:dyDescent="0.25">
      <c r="H182" t="s">
        <v>1023</v>
      </c>
    </row>
    <row r="183" spans="8:8" x14ac:dyDescent="0.25">
      <c r="H183" t="s">
        <v>1025</v>
      </c>
    </row>
    <row r="184" spans="8:8" x14ac:dyDescent="0.25">
      <c r="H184" t="s">
        <v>716</v>
      </c>
    </row>
    <row r="185" spans="8:8" x14ac:dyDescent="0.25">
      <c r="H185" t="s">
        <v>1023</v>
      </c>
    </row>
    <row r="186" spans="8:8" x14ac:dyDescent="0.25">
      <c r="H186" t="s">
        <v>1026</v>
      </c>
    </row>
    <row r="187" spans="8:8" x14ac:dyDescent="0.25">
      <c r="H187" t="s">
        <v>717</v>
      </c>
    </row>
    <row r="188" spans="8:8" x14ac:dyDescent="0.25">
      <c r="H188" t="s">
        <v>1023</v>
      </c>
    </row>
    <row r="190" spans="8:8" x14ac:dyDescent="0.25">
      <c r="H190" t="s">
        <v>160</v>
      </c>
    </row>
    <row r="191" spans="8:8" x14ac:dyDescent="0.25">
      <c r="H191" t="s">
        <v>616</v>
      </c>
    </row>
    <row r="192" spans="8:8" x14ac:dyDescent="0.25">
      <c r="H192" t="s">
        <v>1022</v>
      </c>
    </row>
    <row r="193" spans="8:8" x14ac:dyDescent="0.25">
      <c r="H193" t="s">
        <v>718</v>
      </c>
    </row>
    <row r="194" spans="8:8" x14ac:dyDescent="0.25">
      <c r="H194" t="s">
        <v>1023</v>
      </c>
    </row>
    <row r="195" spans="8:8" x14ac:dyDescent="0.25">
      <c r="H195" t="s">
        <v>1024</v>
      </c>
    </row>
    <row r="196" spans="8:8" x14ac:dyDescent="0.25">
      <c r="H196" t="s">
        <v>719</v>
      </c>
    </row>
    <row r="197" spans="8:8" x14ac:dyDescent="0.25">
      <c r="H197" t="s">
        <v>1023</v>
      </c>
    </row>
    <row r="198" spans="8:8" x14ac:dyDescent="0.25">
      <c r="H198" t="s">
        <v>1025</v>
      </c>
    </row>
    <row r="199" spans="8:8" x14ac:dyDescent="0.25">
      <c r="H199" t="s">
        <v>720</v>
      </c>
    </row>
    <row r="200" spans="8:8" x14ac:dyDescent="0.25">
      <c r="H200" t="s">
        <v>1023</v>
      </c>
    </row>
    <row r="201" spans="8:8" x14ac:dyDescent="0.25">
      <c r="H201" t="s">
        <v>1026</v>
      </c>
    </row>
    <row r="202" spans="8:8" x14ac:dyDescent="0.25">
      <c r="H202" t="s">
        <v>721</v>
      </c>
    </row>
    <row r="203" spans="8:8" x14ac:dyDescent="0.25">
      <c r="H203" t="s">
        <v>1023</v>
      </c>
    </row>
    <row r="205" spans="8:8" x14ac:dyDescent="0.25">
      <c r="H205" t="s">
        <v>161</v>
      </c>
    </row>
    <row r="206" spans="8:8" x14ac:dyDescent="0.25">
      <c r="H206" t="s">
        <v>621</v>
      </c>
    </row>
    <row r="207" spans="8:8" x14ac:dyDescent="0.25">
      <c r="H207" t="s">
        <v>1022</v>
      </c>
    </row>
    <row r="208" spans="8:8" x14ac:dyDescent="0.25">
      <c r="H208" t="s">
        <v>722</v>
      </c>
    </row>
    <row r="209" spans="8:8" x14ac:dyDescent="0.25">
      <c r="H209" t="s">
        <v>1023</v>
      </c>
    </row>
    <row r="210" spans="8:8" x14ac:dyDescent="0.25">
      <c r="H210" t="s">
        <v>1024</v>
      </c>
    </row>
    <row r="211" spans="8:8" x14ac:dyDescent="0.25">
      <c r="H211" t="s">
        <v>723</v>
      </c>
    </row>
    <row r="212" spans="8:8" x14ac:dyDescent="0.25">
      <c r="H212" t="s">
        <v>1023</v>
      </c>
    </row>
    <row r="213" spans="8:8" x14ac:dyDescent="0.25">
      <c r="H213" t="s">
        <v>1025</v>
      </c>
    </row>
    <row r="214" spans="8:8" x14ac:dyDescent="0.25">
      <c r="H214" t="s">
        <v>724</v>
      </c>
    </row>
    <row r="215" spans="8:8" x14ac:dyDescent="0.25">
      <c r="H215" t="s">
        <v>1023</v>
      </c>
    </row>
    <row r="216" spans="8:8" x14ac:dyDescent="0.25">
      <c r="H216" t="s">
        <v>1026</v>
      </c>
    </row>
    <row r="217" spans="8:8" x14ac:dyDescent="0.25">
      <c r="H217" t="s">
        <v>725</v>
      </c>
    </row>
    <row r="218" spans="8:8" x14ac:dyDescent="0.25">
      <c r="H218" t="s">
        <v>1023</v>
      </c>
    </row>
    <row r="220" spans="8:8" x14ac:dyDescent="0.25">
      <c r="H220" t="s">
        <v>162</v>
      </c>
    </row>
    <row r="221" spans="8:8" x14ac:dyDescent="0.25">
      <c r="H221" t="s">
        <v>626</v>
      </c>
    </row>
    <row r="222" spans="8:8" x14ac:dyDescent="0.25">
      <c r="H222" t="s">
        <v>1022</v>
      </c>
    </row>
    <row r="223" spans="8:8" x14ac:dyDescent="0.25">
      <c r="H223" t="s">
        <v>726</v>
      </c>
    </row>
    <row r="224" spans="8:8" x14ac:dyDescent="0.25">
      <c r="H224" t="s">
        <v>1023</v>
      </c>
    </row>
    <row r="225" spans="8:8" x14ac:dyDescent="0.25">
      <c r="H225" t="s">
        <v>1024</v>
      </c>
    </row>
    <row r="226" spans="8:8" x14ac:dyDescent="0.25">
      <c r="H226" t="s">
        <v>727</v>
      </c>
    </row>
    <row r="227" spans="8:8" x14ac:dyDescent="0.25">
      <c r="H227" t="s">
        <v>1023</v>
      </c>
    </row>
    <row r="228" spans="8:8" x14ac:dyDescent="0.25">
      <c r="H228" t="s">
        <v>1025</v>
      </c>
    </row>
    <row r="229" spans="8:8" x14ac:dyDescent="0.25">
      <c r="H229" t="s">
        <v>728</v>
      </c>
    </row>
    <row r="230" spans="8:8" x14ac:dyDescent="0.25">
      <c r="H230" t="s">
        <v>1023</v>
      </c>
    </row>
    <row r="231" spans="8:8" x14ac:dyDescent="0.25">
      <c r="H231" t="s">
        <v>1026</v>
      </c>
    </row>
    <row r="232" spans="8:8" x14ac:dyDescent="0.25">
      <c r="H232" t="s">
        <v>729</v>
      </c>
    </row>
    <row r="233" spans="8:8" x14ac:dyDescent="0.25">
      <c r="H233" t="s">
        <v>1023</v>
      </c>
    </row>
    <row r="235" spans="8:8" x14ac:dyDescent="0.25">
      <c r="H235" t="s">
        <v>163</v>
      </c>
    </row>
    <row r="236" spans="8:8" x14ac:dyDescent="0.25">
      <c r="H236" t="s">
        <v>631</v>
      </c>
    </row>
    <row r="237" spans="8:8" x14ac:dyDescent="0.25">
      <c r="H237" t="s">
        <v>1022</v>
      </c>
    </row>
    <row r="238" spans="8:8" x14ac:dyDescent="0.25">
      <c r="H238" t="s">
        <v>730</v>
      </c>
    </row>
    <row r="239" spans="8:8" x14ac:dyDescent="0.25">
      <c r="H239" t="s">
        <v>1023</v>
      </c>
    </row>
    <row r="241" spans="8:8" x14ac:dyDescent="0.25">
      <c r="H241" t="s">
        <v>164</v>
      </c>
    </row>
    <row r="242" spans="8:8" x14ac:dyDescent="0.25">
      <c r="H242" t="s">
        <v>633</v>
      </c>
    </row>
    <row r="243" spans="8:8" x14ac:dyDescent="0.25">
      <c r="H243" t="s">
        <v>1022</v>
      </c>
    </row>
    <row r="244" spans="8:8" x14ac:dyDescent="0.25">
      <c r="H244" t="s">
        <v>731</v>
      </c>
    </row>
    <row r="245" spans="8:8" x14ac:dyDescent="0.25">
      <c r="H245" t="s">
        <v>1023</v>
      </c>
    </row>
    <row r="247" spans="8:8" x14ac:dyDescent="0.25">
      <c r="H247" t="s">
        <v>165</v>
      </c>
    </row>
    <row r="248" spans="8:8" x14ac:dyDescent="0.25">
      <c r="H248" t="s">
        <v>635</v>
      </c>
    </row>
    <row r="249" spans="8:8" x14ac:dyDescent="0.25">
      <c r="H249" t="s">
        <v>1022</v>
      </c>
    </row>
    <row r="250" spans="8:8" x14ac:dyDescent="0.25">
      <c r="H250" t="s">
        <v>732</v>
      </c>
    </row>
    <row r="251" spans="8:8" x14ac:dyDescent="0.25">
      <c r="H251" t="s">
        <v>1023</v>
      </c>
    </row>
    <row r="252" spans="8:8" x14ac:dyDescent="0.25">
      <c r="H252" t="s">
        <v>1024</v>
      </c>
    </row>
    <row r="253" spans="8:8" x14ac:dyDescent="0.25">
      <c r="H253" t="s">
        <v>733</v>
      </c>
    </row>
    <row r="254" spans="8:8" x14ac:dyDescent="0.25">
      <c r="H254" t="s">
        <v>1023</v>
      </c>
    </row>
    <row r="255" spans="8:8" x14ac:dyDescent="0.25">
      <c r="H255" t="s">
        <v>1025</v>
      </c>
    </row>
    <row r="256" spans="8:8" x14ac:dyDescent="0.25">
      <c r="H256" t="s">
        <v>734</v>
      </c>
    </row>
    <row r="257" spans="8:8" x14ac:dyDescent="0.25">
      <c r="H257" t="s">
        <v>1023</v>
      </c>
    </row>
    <row r="258" spans="8:8" x14ac:dyDescent="0.25">
      <c r="H258" t="s">
        <v>1026</v>
      </c>
    </row>
    <row r="259" spans="8:8" x14ac:dyDescent="0.25">
      <c r="H259" t="s">
        <v>735</v>
      </c>
    </row>
    <row r="260" spans="8:8" x14ac:dyDescent="0.25">
      <c r="H260" t="s">
        <v>1023</v>
      </c>
    </row>
    <row r="262" spans="8:8" x14ac:dyDescent="0.25">
      <c r="H262" t="s">
        <v>166</v>
      </c>
    </row>
    <row r="263" spans="8:8" x14ac:dyDescent="0.25">
      <c r="H263" t="s">
        <v>640</v>
      </c>
    </row>
    <row r="264" spans="8:8" x14ac:dyDescent="0.25">
      <c r="H264" t="s">
        <v>1022</v>
      </c>
    </row>
    <row r="265" spans="8:8" x14ac:dyDescent="0.25">
      <c r="H265" t="s">
        <v>736</v>
      </c>
    </row>
    <row r="266" spans="8:8" x14ac:dyDescent="0.25">
      <c r="H266" t="s">
        <v>1023</v>
      </c>
    </row>
    <row r="268" spans="8:8" x14ac:dyDescent="0.25">
      <c r="H268" t="s">
        <v>167</v>
      </c>
    </row>
    <row r="269" spans="8:8" x14ac:dyDescent="0.25">
      <c r="H269" t="s">
        <v>642</v>
      </c>
    </row>
    <row r="270" spans="8:8" x14ac:dyDescent="0.25">
      <c r="H270" t="s">
        <v>1022</v>
      </c>
    </row>
    <row r="271" spans="8:8" x14ac:dyDescent="0.25">
      <c r="H271" t="s">
        <v>737</v>
      </c>
    </row>
    <row r="272" spans="8:8" x14ac:dyDescent="0.25">
      <c r="H272" t="s">
        <v>1023</v>
      </c>
    </row>
    <row r="274" spans="8:8" x14ac:dyDescent="0.25">
      <c r="H274" t="s">
        <v>168</v>
      </c>
    </row>
    <row r="275" spans="8:8" x14ac:dyDescent="0.25">
      <c r="H275" t="s">
        <v>644</v>
      </c>
    </row>
    <row r="276" spans="8:8" x14ac:dyDescent="0.25">
      <c r="H276" t="s">
        <v>1022</v>
      </c>
    </row>
    <row r="277" spans="8:8" x14ac:dyDescent="0.25">
      <c r="H277" t="s">
        <v>738</v>
      </c>
    </row>
    <row r="278" spans="8:8" x14ac:dyDescent="0.25">
      <c r="H278" t="s">
        <v>1023</v>
      </c>
    </row>
    <row r="280" spans="8:8" x14ac:dyDescent="0.25">
      <c r="H280" t="s">
        <v>169</v>
      </c>
    </row>
    <row r="281" spans="8:8" x14ac:dyDescent="0.25">
      <c r="H281" t="s">
        <v>646</v>
      </c>
    </row>
    <row r="282" spans="8:8" x14ac:dyDescent="0.25">
      <c r="H282" t="s">
        <v>1022</v>
      </c>
    </row>
    <row r="283" spans="8:8" x14ac:dyDescent="0.25">
      <c r="H283" t="s">
        <v>739</v>
      </c>
    </row>
    <row r="284" spans="8:8" x14ac:dyDescent="0.25">
      <c r="H284" t="s">
        <v>1023</v>
      </c>
    </row>
    <row r="286" spans="8:8" x14ac:dyDescent="0.25">
      <c r="H286" t="s">
        <v>170</v>
      </c>
    </row>
    <row r="287" spans="8:8" x14ac:dyDescent="0.25">
      <c r="H287" t="s">
        <v>648</v>
      </c>
    </row>
    <row r="288" spans="8:8" x14ac:dyDescent="0.25">
      <c r="H288" t="s">
        <v>1022</v>
      </c>
    </row>
    <row r="289" spans="8:8" x14ac:dyDescent="0.25">
      <c r="H289" t="s">
        <v>740</v>
      </c>
    </row>
    <row r="290" spans="8:8" x14ac:dyDescent="0.25">
      <c r="H290" t="s">
        <v>1023</v>
      </c>
    </row>
    <row r="292" spans="8:8" x14ac:dyDescent="0.25">
      <c r="H292" t="s">
        <v>171</v>
      </c>
    </row>
    <row r="293" spans="8:8" x14ac:dyDescent="0.25">
      <c r="H293" t="s">
        <v>998</v>
      </c>
    </row>
    <row r="294" spans="8:8" x14ac:dyDescent="0.25">
      <c r="H294" t="s">
        <v>1022</v>
      </c>
    </row>
    <row r="295" spans="8:8" x14ac:dyDescent="0.25">
      <c r="H295" t="s">
        <v>1027</v>
      </c>
    </row>
    <row r="296" spans="8:8" x14ac:dyDescent="0.25">
      <c r="H296" t="s">
        <v>1023</v>
      </c>
    </row>
    <row r="298" spans="8:8" x14ac:dyDescent="0.25">
      <c r="H298" t="s">
        <v>172</v>
      </c>
    </row>
    <row r="299" spans="8:8" x14ac:dyDescent="0.25">
      <c r="H299" t="s">
        <v>1000</v>
      </c>
    </row>
    <row r="300" spans="8:8" x14ac:dyDescent="0.25">
      <c r="H300" t="s">
        <v>1022</v>
      </c>
    </row>
    <row r="301" spans="8:8" x14ac:dyDescent="0.25">
      <c r="H301" t="s">
        <v>1028</v>
      </c>
    </row>
    <row r="302" spans="8:8" x14ac:dyDescent="0.25">
      <c r="H302" t="s">
        <v>1023</v>
      </c>
    </row>
    <row r="304" spans="8:8" x14ac:dyDescent="0.25">
      <c r="H304" t="s">
        <v>173</v>
      </c>
    </row>
    <row r="305" spans="8:8" x14ac:dyDescent="0.25">
      <c r="H305" t="s">
        <v>650</v>
      </c>
    </row>
    <row r="306" spans="8:8" x14ac:dyDescent="0.25">
      <c r="H306" t="s">
        <v>1022</v>
      </c>
    </row>
    <row r="307" spans="8:8" x14ac:dyDescent="0.25">
      <c r="H307" t="s">
        <v>741</v>
      </c>
    </row>
    <row r="308" spans="8:8" x14ac:dyDescent="0.25">
      <c r="H308" t="s">
        <v>1023</v>
      </c>
    </row>
    <row r="310" spans="8:8" x14ac:dyDescent="0.25">
      <c r="H310" t="s">
        <v>174</v>
      </c>
    </row>
    <row r="311" spans="8:8" x14ac:dyDescent="0.25">
      <c r="H311" t="s">
        <v>652</v>
      </c>
    </row>
    <row r="312" spans="8:8" x14ac:dyDescent="0.25">
      <c r="H312" t="s">
        <v>1022</v>
      </c>
    </row>
    <row r="313" spans="8:8" x14ac:dyDescent="0.25">
      <c r="H313" t="s">
        <v>742</v>
      </c>
    </row>
    <row r="314" spans="8:8" x14ac:dyDescent="0.25">
      <c r="H314" t="s">
        <v>1023</v>
      </c>
    </row>
    <row r="316" spans="8:8" x14ac:dyDescent="0.25">
      <c r="H316" t="s">
        <v>175</v>
      </c>
    </row>
    <row r="317" spans="8:8" x14ac:dyDescent="0.25">
      <c r="H317" t="s">
        <v>654</v>
      </c>
    </row>
    <row r="318" spans="8:8" x14ac:dyDescent="0.25">
      <c r="H318" t="s">
        <v>1022</v>
      </c>
    </row>
    <row r="319" spans="8:8" x14ac:dyDescent="0.25">
      <c r="H319" t="s">
        <v>743</v>
      </c>
    </row>
    <row r="320" spans="8:8" x14ac:dyDescent="0.25">
      <c r="H320" t="s">
        <v>1023</v>
      </c>
    </row>
    <row r="322" spans="8:8" x14ac:dyDescent="0.25">
      <c r="H322" t="s">
        <v>176</v>
      </c>
    </row>
    <row r="323" spans="8:8" x14ac:dyDescent="0.25">
      <c r="H323" t="s">
        <v>656</v>
      </c>
    </row>
    <row r="324" spans="8:8" x14ac:dyDescent="0.25">
      <c r="H324" t="s">
        <v>1022</v>
      </c>
    </row>
    <row r="325" spans="8:8" x14ac:dyDescent="0.25">
      <c r="H325" t="s">
        <v>744</v>
      </c>
    </row>
    <row r="326" spans="8:8" x14ac:dyDescent="0.25">
      <c r="H326" t="s">
        <v>1023</v>
      </c>
    </row>
    <row r="328" spans="8:8" x14ac:dyDescent="0.25">
      <c r="H328" t="s">
        <v>177</v>
      </c>
    </row>
    <row r="329" spans="8:8" x14ac:dyDescent="0.25">
      <c r="H329" t="s">
        <v>658</v>
      </c>
    </row>
    <row r="330" spans="8:8" x14ac:dyDescent="0.25">
      <c r="H330" t="s">
        <v>1022</v>
      </c>
    </row>
    <row r="331" spans="8:8" x14ac:dyDescent="0.25">
      <c r="H331" t="s">
        <v>745</v>
      </c>
    </row>
    <row r="332" spans="8:8" x14ac:dyDescent="0.25">
      <c r="H332" t="s">
        <v>1023</v>
      </c>
    </row>
    <row r="334" spans="8:8" x14ac:dyDescent="0.25">
      <c r="H334" t="s">
        <v>178</v>
      </c>
    </row>
    <row r="335" spans="8:8" x14ac:dyDescent="0.25">
      <c r="H335" t="s">
        <v>660</v>
      </c>
    </row>
    <row r="336" spans="8:8" x14ac:dyDescent="0.25">
      <c r="H336" t="s">
        <v>1022</v>
      </c>
    </row>
    <row r="337" spans="8:8" x14ac:dyDescent="0.25">
      <c r="H337" t="s">
        <v>746</v>
      </c>
    </row>
    <row r="338" spans="8:8" x14ac:dyDescent="0.25">
      <c r="H338" t="s">
        <v>1023</v>
      </c>
    </row>
    <row r="340" spans="8:8" x14ac:dyDescent="0.25">
      <c r="H340" t="s">
        <v>179</v>
      </c>
    </row>
    <row r="341" spans="8:8" x14ac:dyDescent="0.25">
      <c r="H341" t="s">
        <v>662</v>
      </c>
    </row>
    <row r="342" spans="8:8" x14ac:dyDescent="0.25">
      <c r="H342" t="s">
        <v>1022</v>
      </c>
    </row>
    <row r="343" spans="8:8" x14ac:dyDescent="0.25">
      <c r="H343" t="s">
        <v>747</v>
      </c>
    </row>
    <row r="344" spans="8:8" x14ac:dyDescent="0.25">
      <c r="H344" t="s">
        <v>1023</v>
      </c>
    </row>
    <row r="346" spans="8:8" x14ac:dyDescent="0.25">
      <c r="H346" t="s">
        <v>942</v>
      </c>
    </row>
    <row r="347" spans="8:8" x14ac:dyDescent="0.25">
      <c r="H347" t="s">
        <v>664</v>
      </c>
    </row>
    <row r="348" spans="8:8" x14ac:dyDescent="0.25">
      <c r="H348" t="s">
        <v>1022</v>
      </c>
    </row>
    <row r="349" spans="8:8" x14ac:dyDescent="0.25">
      <c r="H349" t="s">
        <v>748</v>
      </c>
    </row>
    <row r="350" spans="8:8" x14ac:dyDescent="0.25">
      <c r="H350" t="s">
        <v>1023</v>
      </c>
    </row>
    <row r="352" spans="8:8" x14ac:dyDescent="0.25">
      <c r="H352" t="s">
        <v>943</v>
      </c>
    </row>
    <row r="353" spans="8:8" x14ac:dyDescent="0.25">
      <c r="H353" t="s">
        <v>666</v>
      </c>
    </row>
    <row r="354" spans="8:8" x14ac:dyDescent="0.25">
      <c r="H354" t="s">
        <v>1022</v>
      </c>
    </row>
    <row r="355" spans="8:8" x14ac:dyDescent="0.25">
      <c r="H355" t="s">
        <v>749</v>
      </c>
    </row>
    <row r="356" spans="8:8" x14ac:dyDescent="0.25">
      <c r="H356" t="s">
        <v>1023</v>
      </c>
    </row>
    <row r="358" spans="8:8" x14ac:dyDescent="0.25">
      <c r="H358" t="s">
        <v>1002</v>
      </c>
    </row>
    <row r="359" spans="8:8" x14ac:dyDescent="0.25">
      <c r="H359" t="s">
        <v>1003</v>
      </c>
    </row>
    <row r="360" spans="8:8" x14ac:dyDescent="0.25">
      <c r="H360" t="s">
        <v>1022</v>
      </c>
    </row>
    <row r="361" spans="8:8" x14ac:dyDescent="0.25">
      <c r="H361" t="s">
        <v>1029</v>
      </c>
    </row>
    <row r="362" spans="8:8" x14ac:dyDescent="0.25">
      <c r="H362" t="s">
        <v>1023</v>
      </c>
    </row>
    <row r="364" spans="8:8" x14ac:dyDescent="0.25">
      <c r="H364" t="s">
        <v>1005</v>
      </c>
    </row>
    <row r="365" spans="8:8" x14ac:dyDescent="0.25">
      <c r="H365" t="s">
        <v>1006</v>
      </c>
    </row>
    <row r="366" spans="8:8" x14ac:dyDescent="0.25">
      <c r="H366" t="s">
        <v>1022</v>
      </c>
    </row>
    <row r="367" spans="8:8" x14ac:dyDescent="0.25">
      <c r="H367" t="s">
        <v>1030</v>
      </c>
    </row>
    <row r="368" spans="8:8" x14ac:dyDescent="0.25">
      <c r="H368" t="s">
        <v>1023</v>
      </c>
    </row>
    <row r="370" spans="8:8" x14ac:dyDescent="0.25">
      <c r="H370" t="s">
        <v>1008</v>
      </c>
    </row>
    <row r="371" spans="8:8" x14ac:dyDescent="0.25">
      <c r="H371" t="s">
        <v>1009</v>
      </c>
    </row>
    <row r="372" spans="8:8" x14ac:dyDescent="0.25">
      <c r="H372" t="s">
        <v>1022</v>
      </c>
    </row>
    <row r="373" spans="8:8" x14ac:dyDescent="0.25">
      <c r="H373" t="s">
        <v>1031</v>
      </c>
    </row>
    <row r="374" spans="8:8" x14ac:dyDescent="0.25">
      <c r="H374" t="s">
        <v>1023</v>
      </c>
    </row>
    <row r="376" spans="8:8" x14ac:dyDescent="0.25">
      <c r="H376" t="s">
        <v>1011</v>
      </c>
    </row>
    <row r="377" spans="8:8" x14ac:dyDescent="0.25">
      <c r="H377" t="s">
        <v>1012</v>
      </c>
    </row>
    <row r="378" spans="8:8" x14ac:dyDescent="0.25">
      <c r="H378" t="s">
        <v>1022</v>
      </c>
    </row>
    <row r="379" spans="8:8" x14ac:dyDescent="0.25">
      <c r="H379" t="s">
        <v>1032</v>
      </c>
    </row>
    <row r="380" spans="8:8" x14ac:dyDescent="0.25">
      <c r="H380" t="s">
        <v>1023</v>
      </c>
    </row>
    <row r="382" spans="8:8" x14ac:dyDescent="0.25">
      <c r="H382" t="s">
        <v>29</v>
      </c>
    </row>
    <row r="383" spans="8:8" x14ac:dyDescent="0.25">
      <c r="H383" t="s">
        <v>117</v>
      </c>
    </row>
    <row r="384" spans="8:8" x14ac:dyDescent="0.25">
      <c r="H384" t="s">
        <v>38</v>
      </c>
    </row>
    <row r="386" spans="8:8" x14ac:dyDescent="0.25">
      <c r="H386" t="s">
        <v>30</v>
      </c>
    </row>
    <row r="387" spans="8:8" x14ac:dyDescent="0.25">
      <c r="H387" s="13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0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88</v>
      </c>
      <c r="I2" s="1" t="s">
        <v>89</v>
      </c>
    </row>
    <row r="3" spans="2:9" x14ac:dyDescent="0.25">
      <c r="B3" t="s">
        <v>418</v>
      </c>
      <c r="H3" t="s">
        <v>114</v>
      </c>
      <c r="I3" t="s">
        <v>115</v>
      </c>
    </row>
    <row r="5" spans="2:9" x14ac:dyDescent="0.25">
      <c r="B5" s="1" t="s">
        <v>19</v>
      </c>
      <c r="H5" t="s">
        <v>750</v>
      </c>
      <c r="I5" t="s">
        <v>760</v>
      </c>
    </row>
    <row r="6" spans="2:9" x14ac:dyDescent="0.25">
      <c r="B6" t="s">
        <v>415</v>
      </c>
      <c r="H6" t="s">
        <v>751</v>
      </c>
      <c r="I6" t="s">
        <v>761</v>
      </c>
    </row>
    <row r="7" spans="2:9" x14ac:dyDescent="0.25">
      <c r="H7" t="s">
        <v>752</v>
      </c>
      <c r="I7" t="s">
        <v>762</v>
      </c>
    </row>
    <row r="8" spans="2:9" x14ac:dyDescent="0.25">
      <c r="B8" s="1" t="s">
        <v>20</v>
      </c>
      <c r="H8" t="s">
        <v>753</v>
      </c>
      <c r="I8" t="s">
        <v>763</v>
      </c>
    </row>
    <row r="9" spans="2:9" x14ac:dyDescent="0.25">
      <c r="B9" t="s">
        <v>414</v>
      </c>
      <c r="H9" t="s">
        <v>754</v>
      </c>
      <c r="I9" t="s">
        <v>764</v>
      </c>
    </row>
    <row r="10" spans="2:9" x14ac:dyDescent="0.25">
      <c r="H10" t="s">
        <v>755</v>
      </c>
      <c r="I10" t="s">
        <v>765</v>
      </c>
    </row>
    <row r="11" spans="2:9" x14ac:dyDescent="0.25">
      <c r="B11" s="1" t="s">
        <v>13</v>
      </c>
      <c r="H11" t="s">
        <v>756</v>
      </c>
      <c r="I11" t="s">
        <v>766</v>
      </c>
    </row>
    <row r="12" spans="2:9" x14ac:dyDescent="0.25">
      <c r="B12" t="s">
        <v>15</v>
      </c>
      <c r="H12" t="s">
        <v>757</v>
      </c>
      <c r="I12" t="s">
        <v>767</v>
      </c>
    </row>
    <row r="13" spans="2:9" x14ac:dyDescent="0.25">
      <c r="H13" t="s">
        <v>758</v>
      </c>
      <c r="I13" t="s">
        <v>768</v>
      </c>
    </row>
    <row r="14" spans="2:9" x14ac:dyDescent="0.25">
      <c r="B14" s="1" t="s">
        <v>35</v>
      </c>
      <c r="H14" t="s">
        <v>759</v>
      </c>
      <c r="I14" t="s">
        <v>769</v>
      </c>
    </row>
    <row r="15" spans="2:9" x14ac:dyDescent="0.25">
      <c r="B15" t="s">
        <v>34</v>
      </c>
      <c r="H15" t="s">
        <v>760</v>
      </c>
      <c r="I15" t="s">
        <v>778</v>
      </c>
    </row>
    <row r="16" spans="2:9" x14ac:dyDescent="0.25">
      <c r="H16" t="s">
        <v>761</v>
      </c>
      <c r="I16" t="s">
        <v>779</v>
      </c>
    </row>
    <row r="17" spans="2:9" x14ac:dyDescent="0.25">
      <c r="B17" s="1" t="s">
        <v>21</v>
      </c>
      <c r="H17" t="s">
        <v>762</v>
      </c>
      <c r="I17" t="s">
        <v>780</v>
      </c>
    </row>
    <row r="18" spans="2:9" x14ac:dyDescent="0.25">
      <c r="B18" t="s">
        <v>417</v>
      </c>
      <c r="H18" t="s">
        <v>763</v>
      </c>
      <c r="I18" t="s">
        <v>781</v>
      </c>
    </row>
    <row r="19" spans="2:9" x14ac:dyDescent="0.25">
      <c r="H19" t="s">
        <v>764</v>
      </c>
      <c r="I19" t="s">
        <v>782</v>
      </c>
    </row>
    <row r="20" spans="2:9" x14ac:dyDescent="0.25">
      <c r="B20" s="1"/>
      <c r="H20" t="s">
        <v>765</v>
      </c>
      <c r="I20" t="s">
        <v>783</v>
      </c>
    </row>
    <row r="21" spans="2:9" x14ac:dyDescent="0.25">
      <c r="H21" t="s">
        <v>766</v>
      </c>
      <c r="I21" t="s">
        <v>784</v>
      </c>
    </row>
    <row r="22" spans="2:9" x14ac:dyDescent="0.25">
      <c r="H22" t="s">
        <v>767</v>
      </c>
      <c r="I22" t="s">
        <v>785</v>
      </c>
    </row>
    <row r="23" spans="2:9" x14ac:dyDescent="0.25">
      <c r="H23" t="s">
        <v>768</v>
      </c>
      <c r="I23" t="s">
        <v>809</v>
      </c>
    </row>
    <row r="24" spans="2:9" x14ac:dyDescent="0.25">
      <c r="H24" t="s">
        <v>769</v>
      </c>
      <c r="I24" t="s">
        <v>810</v>
      </c>
    </row>
    <row r="25" spans="2:9" x14ac:dyDescent="0.25">
      <c r="H25" t="s">
        <v>770</v>
      </c>
      <c r="I25" t="s">
        <v>811</v>
      </c>
    </row>
    <row r="26" spans="2:9" x14ac:dyDescent="0.25">
      <c r="H26" t="s">
        <v>771</v>
      </c>
      <c r="I26" t="s">
        <v>812</v>
      </c>
    </row>
    <row r="27" spans="2:9" x14ac:dyDescent="0.25">
      <c r="H27" t="s">
        <v>772</v>
      </c>
      <c r="I27" t="s">
        <v>813</v>
      </c>
    </row>
    <row r="28" spans="2:9" x14ac:dyDescent="0.25">
      <c r="H28" t="s">
        <v>773</v>
      </c>
      <c r="I28" t="s">
        <v>814</v>
      </c>
    </row>
    <row r="29" spans="2:9" x14ac:dyDescent="0.25">
      <c r="H29" t="s">
        <v>774</v>
      </c>
      <c r="I29" t="s">
        <v>815</v>
      </c>
    </row>
    <row r="30" spans="2:9" x14ac:dyDescent="0.25">
      <c r="H30" t="s">
        <v>775</v>
      </c>
      <c r="I30" t="s">
        <v>816</v>
      </c>
    </row>
    <row r="31" spans="2:9" x14ac:dyDescent="0.25">
      <c r="H31" t="s">
        <v>776</v>
      </c>
      <c r="I31" s="13" t="s">
        <v>84</v>
      </c>
    </row>
    <row r="32" spans="2:9" x14ac:dyDescent="0.25">
      <c r="H32" t="s">
        <v>777</v>
      </c>
    </row>
    <row r="33" spans="8:8" x14ac:dyDescent="0.25">
      <c r="H33" t="s">
        <v>778</v>
      </c>
    </row>
    <row r="34" spans="8:8" x14ac:dyDescent="0.25">
      <c r="H34" t="s">
        <v>779</v>
      </c>
    </row>
    <row r="35" spans="8:8" x14ac:dyDescent="0.25">
      <c r="H35" t="s">
        <v>780</v>
      </c>
    </row>
    <row r="36" spans="8:8" x14ac:dyDescent="0.25">
      <c r="H36" t="s">
        <v>781</v>
      </c>
    </row>
    <row r="37" spans="8:8" x14ac:dyDescent="0.25">
      <c r="H37" t="s">
        <v>782</v>
      </c>
    </row>
    <row r="38" spans="8:8" x14ac:dyDescent="0.25">
      <c r="H38" t="s">
        <v>783</v>
      </c>
    </row>
    <row r="39" spans="8:8" x14ac:dyDescent="0.25">
      <c r="H39" t="s">
        <v>784</v>
      </c>
    </row>
    <row r="40" spans="8:8" x14ac:dyDescent="0.25">
      <c r="H40" t="s">
        <v>785</v>
      </c>
    </row>
    <row r="41" spans="8:8" x14ac:dyDescent="0.25">
      <c r="H41" t="s">
        <v>786</v>
      </c>
    </row>
    <row r="42" spans="8:8" x14ac:dyDescent="0.25">
      <c r="H42" t="s">
        <v>787</v>
      </c>
    </row>
    <row r="43" spans="8:8" x14ac:dyDescent="0.25">
      <c r="H43" t="s">
        <v>788</v>
      </c>
    </row>
    <row r="44" spans="8:8" x14ac:dyDescent="0.25">
      <c r="H44" t="s">
        <v>789</v>
      </c>
    </row>
    <row r="45" spans="8:8" x14ac:dyDescent="0.25">
      <c r="H45" t="s">
        <v>790</v>
      </c>
    </row>
    <row r="46" spans="8:8" x14ac:dyDescent="0.25">
      <c r="H46" t="s">
        <v>791</v>
      </c>
    </row>
    <row r="47" spans="8:8" x14ac:dyDescent="0.25">
      <c r="H47" t="s">
        <v>792</v>
      </c>
    </row>
    <row r="48" spans="8:8" x14ac:dyDescent="0.25">
      <c r="H48" t="s">
        <v>793</v>
      </c>
    </row>
    <row r="49" spans="8:8" x14ac:dyDescent="0.25">
      <c r="H49" t="s">
        <v>794</v>
      </c>
    </row>
    <row r="50" spans="8:8" x14ac:dyDescent="0.25">
      <c r="H50" t="s">
        <v>795</v>
      </c>
    </row>
    <row r="51" spans="8:8" x14ac:dyDescent="0.25">
      <c r="H51" t="s">
        <v>796</v>
      </c>
    </row>
    <row r="52" spans="8:8" x14ac:dyDescent="0.25">
      <c r="H52" t="s">
        <v>797</v>
      </c>
    </row>
    <row r="53" spans="8:8" x14ac:dyDescent="0.25">
      <c r="H53" t="s">
        <v>798</v>
      </c>
    </row>
    <row r="54" spans="8:8" x14ac:dyDescent="0.25">
      <c r="H54" t="s">
        <v>944</v>
      </c>
    </row>
    <row r="55" spans="8:8" x14ac:dyDescent="0.25">
      <c r="H55" t="s">
        <v>799</v>
      </c>
    </row>
    <row r="56" spans="8:8" x14ac:dyDescent="0.25">
      <c r="H56" t="s">
        <v>800</v>
      </c>
    </row>
    <row r="57" spans="8:8" x14ac:dyDescent="0.25">
      <c r="H57" t="s">
        <v>801</v>
      </c>
    </row>
    <row r="58" spans="8:8" x14ac:dyDescent="0.25">
      <c r="H58" t="s">
        <v>802</v>
      </c>
    </row>
    <row r="59" spans="8:8" x14ac:dyDescent="0.25">
      <c r="H59" t="s">
        <v>803</v>
      </c>
    </row>
    <row r="60" spans="8:8" x14ac:dyDescent="0.25">
      <c r="H60" t="s">
        <v>804</v>
      </c>
    </row>
    <row r="61" spans="8:8" x14ac:dyDescent="0.25">
      <c r="H61" t="s">
        <v>805</v>
      </c>
    </row>
    <row r="62" spans="8:8" x14ac:dyDescent="0.25">
      <c r="H62" t="s">
        <v>806</v>
      </c>
    </row>
    <row r="63" spans="8:8" x14ac:dyDescent="0.25">
      <c r="H63" t="s">
        <v>807</v>
      </c>
    </row>
    <row r="64" spans="8:8" x14ac:dyDescent="0.25">
      <c r="H64" t="s">
        <v>808</v>
      </c>
    </row>
    <row r="65" spans="8:8" x14ac:dyDescent="0.25">
      <c r="H65" t="s">
        <v>809</v>
      </c>
    </row>
    <row r="66" spans="8:8" x14ac:dyDescent="0.25">
      <c r="H66" t="s">
        <v>810</v>
      </c>
    </row>
    <row r="67" spans="8:8" x14ac:dyDescent="0.25">
      <c r="H67" t="s">
        <v>811</v>
      </c>
    </row>
    <row r="68" spans="8:8" x14ac:dyDescent="0.25">
      <c r="H68" t="s">
        <v>812</v>
      </c>
    </row>
    <row r="69" spans="8:8" x14ac:dyDescent="0.25">
      <c r="H69" t="s">
        <v>813</v>
      </c>
    </row>
    <row r="70" spans="8:8" x14ac:dyDescent="0.25">
      <c r="H70" t="s">
        <v>814</v>
      </c>
    </row>
    <row r="71" spans="8:8" x14ac:dyDescent="0.25">
      <c r="H71" t="s">
        <v>815</v>
      </c>
    </row>
    <row r="72" spans="8:8" x14ac:dyDescent="0.25">
      <c r="H72" t="s">
        <v>816</v>
      </c>
    </row>
    <row r="73" spans="8:8" x14ac:dyDescent="0.25">
      <c r="H73" t="s">
        <v>1033</v>
      </c>
    </row>
    <row r="74" spans="8:8" x14ac:dyDescent="0.25">
      <c r="H74" t="s">
        <v>1034</v>
      </c>
    </row>
    <row r="75" spans="8:8" x14ac:dyDescent="0.25">
      <c r="H75" t="s">
        <v>1035</v>
      </c>
    </row>
    <row r="76" spans="8:8" x14ac:dyDescent="0.25">
      <c r="H76" t="s">
        <v>1036</v>
      </c>
    </row>
    <row r="77" spans="8:8" x14ac:dyDescent="0.25">
      <c r="H77" t="s">
        <v>817</v>
      </c>
    </row>
    <row r="78" spans="8:8" x14ac:dyDescent="0.25">
      <c r="H78" t="s">
        <v>818</v>
      </c>
    </row>
    <row r="79" spans="8:8" x14ac:dyDescent="0.25">
      <c r="H79" t="s">
        <v>819</v>
      </c>
    </row>
    <row r="80" spans="8:8" x14ac:dyDescent="0.25">
      <c r="H80" t="s">
        <v>820</v>
      </c>
    </row>
    <row r="81" spans="8:8" x14ac:dyDescent="0.25">
      <c r="H81" t="s">
        <v>821</v>
      </c>
    </row>
    <row r="82" spans="8:8" x14ac:dyDescent="0.25">
      <c r="H82" t="s">
        <v>822</v>
      </c>
    </row>
    <row r="83" spans="8:8" x14ac:dyDescent="0.25">
      <c r="H83" t="s">
        <v>823</v>
      </c>
    </row>
    <row r="84" spans="8:8" x14ac:dyDescent="0.25">
      <c r="H84" t="s">
        <v>824</v>
      </c>
    </row>
    <row r="85" spans="8:8" x14ac:dyDescent="0.25">
      <c r="H85" t="s">
        <v>825</v>
      </c>
    </row>
    <row r="86" spans="8:8" x14ac:dyDescent="0.25">
      <c r="H86" t="s">
        <v>826</v>
      </c>
    </row>
    <row r="87" spans="8:8" x14ac:dyDescent="0.25">
      <c r="H87" t="s">
        <v>827</v>
      </c>
    </row>
    <row r="88" spans="8:8" x14ac:dyDescent="0.25">
      <c r="H88" t="s">
        <v>828</v>
      </c>
    </row>
    <row r="89" spans="8:8" x14ac:dyDescent="0.25">
      <c r="H89" t="s">
        <v>829</v>
      </c>
    </row>
    <row r="90" spans="8:8" x14ac:dyDescent="0.25">
      <c r="H90" t="s">
        <v>830</v>
      </c>
    </row>
    <row r="91" spans="8:8" x14ac:dyDescent="0.25">
      <c r="H91" t="s">
        <v>831</v>
      </c>
    </row>
    <row r="92" spans="8:8" x14ac:dyDescent="0.25">
      <c r="H92" t="s">
        <v>832</v>
      </c>
    </row>
    <row r="93" spans="8:8" x14ac:dyDescent="0.25">
      <c r="H93" t="s">
        <v>833</v>
      </c>
    </row>
    <row r="94" spans="8:8" x14ac:dyDescent="0.25">
      <c r="H94" t="s">
        <v>834</v>
      </c>
    </row>
    <row r="95" spans="8:8" x14ac:dyDescent="0.25">
      <c r="H95" t="s">
        <v>1037</v>
      </c>
    </row>
    <row r="96" spans="8:8" x14ac:dyDescent="0.25">
      <c r="H96" t="s">
        <v>1038</v>
      </c>
    </row>
    <row r="97" spans="8:8" x14ac:dyDescent="0.25">
      <c r="H97" t="s">
        <v>1039</v>
      </c>
    </row>
    <row r="98" spans="8:8" x14ac:dyDescent="0.25">
      <c r="H98" t="s">
        <v>1040</v>
      </c>
    </row>
    <row r="99" spans="8:8" x14ac:dyDescent="0.25">
      <c r="H99" t="s">
        <v>1041</v>
      </c>
    </row>
    <row r="100" spans="8:8" x14ac:dyDescent="0.25">
      <c r="H100" t="s">
        <v>1042</v>
      </c>
    </row>
    <row r="101" spans="8:8" x14ac:dyDescent="0.25">
      <c r="H101" t="s">
        <v>1043</v>
      </c>
    </row>
    <row r="102" spans="8:8" x14ac:dyDescent="0.25">
      <c r="H102" t="s">
        <v>1044</v>
      </c>
    </row>
    <row r="103" spans="8:8" x14ac:dyDescent="0.25">
      <c r="H103" s="13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4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835</v>
      </c>
    </row>
    <row r="4" spans="2:8" x14ac:dyDescent="0.25">
      <c r="H4" t="s">
        <v>836</v>
      </c>
    </row>
    <row r="5" spans="2:8" x14ac:dyDescent="0.25">
      <c r="B5" s="1"/>
      <c r="H5" t="s">
        <v>837</v>
      </c>
    </row>
    <row r="6" spans="2:8" x14ac:dyDescent="0.25">
      <c r="H6" t="s">
        <v>945</v>
      </c>
    </row>
    <row r="7" spans="2:8" x14ac:dyDescent="0.25">
      <c r="H7" t="s">
        <v>946</v>
      </c>
    </row>
    <row r="8" spans="2:8" x14ac:dyDescent="0.25">
      <c r="B8" s="1"/>
      <c r="H8" t="s">
        <v>947</v>
      </c>
    </row>
    <row r="9" spans="2:8" x14ac:dyDescent="0.25">
      <c r="H9" t="s">
        <v>838</v>
      </c>
    </row>
    <row r="11" spans="2:8" x14ac:dyDescent="0.25">
      <c r="B11" s="1"/>
      <c r="H11" t="s">
        <v>839</v>
      </c>
    </row>
    <row r="12" spans="2:8" x14ac:dyDescent="0.25">
      <c r="H12" t="s">
        <v>840</v>
      </c>
    </row>
    <row r="13" spans="2:8" x14ac:dyDescent="0.25">
      <c r="H13" t="s">
        <v>841</v>
      </c>
    </row>
    <row r="14" spans="2:8" x14ac:dyDescent="0.25">
      <c r="B14" s="1"/>
      <c r="H14" t="s">
        <v>842</v>
      </c>
    </row>
    <row r="15" spans="2:8" x14ac:dyDescent="0.25">
      <c r="H15" t="s">
        <v>843</v>
      </c>
    </row>
    <row r="16" spans="2:8" x14ac:dyDescent="0.25">
      <c r="H16" t="s">
        <v>844</v>
      </c>
    </row>
    <row r="17" spans="2:8" x14ac:dyDescent="0.25">
      <c r="B17" s="1"/>
      <c r="H17" t="s">
        <v>845</v>
      </c>
    </row>
    <row r="18" spans="2:8" x14ac:dyDescent="0.25">
      <c r="H18" t="s">
        <v>846</v>
      </c>
    </row>
    <row r="20" spans="2:8" x14ac:dyDescent="0.25">
      <c r="B20" s="1"/>
      <c r="H20" t="s">
        <v>847</v>
      </c>
    </row>
    <row r="21" spans="2:8" x14ac:dyDescent="0.25">
      <c r="H21" t="s">
        <v>848</v>
      </c>
    </row>
    <row r="22" spans="2:8" x14ac:dyDescent="0.25">
      <c r="H22" t="s">
        <v>849</v>
      </c>
    </row>
    <row r="23" spans="2:8" x14ac:dyDescent="0.25">
      <c r="H23" t="s">
        <v>850</v>
      </c>
    </row>
    <row r="24" spans="2:8" x14ac:dyDescent="0.25">
      <c r="H24" t="s">
        <v>851</v>
      </c>
    </row>
    <row r="25" spans="2:8" x14ac:dyDescent="0.25">
      <c r="H25" t="s">
        <v>852</v>
      </c>
    </row>
    <row r="26" spans="2:8" x14ac:dyDescent="0.25">
      <c r="H26" t="s">
        <v>853</v>
      </c>
    </row>
    <row r="27" spans="2:8" x14ac:dyDescent="0.25">
      <c r="H27" t="s">
        <v>854</v>
      </c>
    </row>
    <row r="29" spans="2:8" x14ac:dyDescent="0.25">
      <c r="H29" t="s">
        <v>855</v>
      </c>
    </row>
    <row r="30" spans="2:8" x14ac:dyDescent="0.25">
      <c r="H30" t="s">
        <v>856</v>
      </c>
    </row>
    <row r="31" spans="2:8" x14ac:dyDescent="0.25">
      <c r="H31" t="s">
        <v>857</v>
      </c>
    </row>
    <row r="32" spans="2:8" x14ac:dyDescent="0.25">
      <c r="H32" t="s">
        <v>858</v>
      </c>
    </row>
    <row r="33" spans="8:8" x14ac:dyDescent="0.25">
      <c r="H33" t="s">
        <v>859</v>
      </c>
    </row>
    <row r="34" spans="8:8" x14ac:dyDescent="0.25">
      <c r="H34" t="s">
        <v>860</v>
      </c>
    </row>
    <row r="35" spans="8:8" x14ac:dyDescent="0.25">
      <c r="H35" t="s">
        <v>861</v>
      </c>
    </row>
    <row r="36" spans="8:8" x14ac:dyDescent="0.25">
      <c r="H36" t="s">
        <v>862</v>
      </c>
    </row>
    <row r="38" spans="8:8" x14ac:dyDescent="0.25">
      <c r="H38" t="s">
        <v>863</v>
      </c>
    </row>
    <row r="39" spans="8:8" x14ac:dyDescent="0.25">
      <c r="H39" t="s">
        <v>864</v>
      </c>
    </row>
    <row r="40" spans="8:8" x14ac:dyDescent="0.25">
      <c r="H40" t="s">
        <v>865</v>
      </c>
    </row>
    <row r="41" spans="8:8" x14ac:dyDescent="0.25">
      <c r="H41" t="s">
        <v>866</v>
      </c>
    </row>
    <row r="42" spans="8:8" x14ac:dyDescent="0.25">
      <c r="H42" t="s">
        <v>867</v>
      </c>
    </row>
    <row r="43" spans="8:8" x14ac:dyDescent="0.25">
      <c r="H43" t="s">
        <v>868</v>
      </c>
    </row>
    <row r="44" spans="8:8" x14ac:dyDescent="0.25">
      <c r="H44" t="s">
        <v>869</v>
      </c>
    </row>
    <row r="46" spans="8:8" x14ac:dyDescent="0.25">
      <c r="H46" t="s">
        <v>870</v>
      </c>
    </row>
    <row r="47" spans="8:8" x14ac:dyDescent="0.25">
      <c r="H47" t="s">
        <v>871</v>
      </c>
    </row>
    <row r="48" spans="8:8" x14ac:dyDescent="0.25">
      <c r="H48" t="s">
        <v>872</v>
      </c>
    </row>
    <row r="49" spans="8:8" x14ac:dyDescent="0.25">
      <c r="H49" t="s">
        <v>873</v>
      </c>
    </row>
    <row r="50" spans="8:8" x14ac:dyDescent="0.25">
      <c r="H50" t="s">
        <v>874</v>
      </c>
    </row>
    <row r="51" spans="8:8" x14ac:dyDescent="0.25">
      <c r="H51" t="s">
        <v>875</v>
      </c>
    </row>
    <row r="52" spans="8:8" x14ac:dyDescent="0.25">
      <c r="H52" t="s">
        <v>876</v>
      </c>
    </row>
    <row r="54" spans="8:8" x14ac:dyDescent="0.25">
      <c r="H54" t="s">
        <v>877</v>
      </c>
    </row>
    <row r="55" spans="8:8" x14ac:dyDescent="0.25">
      <c r="H55" t="s">
        <v>878</v>
      </c>
    </row>
    <row r="56" spans="8:8" x14ac:dyDescent="0.25">
      <c r="H56" t="s">
        <v>879</v>
      </c>
    </row>
    <row r="57" spans="8:8" x14ac:dyDescent="0.25">
      <c r="H57" t="s">
        <v>880</v>
      </c>
    </row>
    <row r="58" spans="8:8" x14ac:dyDescent="0.25">
      <c r="H58" t="s">
        <v>881</v>
      </c>
    </row>
    <row r="59" spans="8:8" x14ac:dyDescent="0.25">
      <c r="H59" t="s">
        <v>882</v>
      </c>
    </row>
    <row r="60" spans="8:8" x14ac:dyDescent="0.25">
      <c r="H60" t="s">
        <v>883</v>
      </c>
    </row>
    <row r="62" spans="8:8" x14ac:dyDescent="0.25">
      <c r="H62" t="s">
        <v>884</v>
      </c>
    </row>
    <row r="63" spans="8:8" x14ac:dyDescent="0.25">
      <c r="H63" t="s">
        <v>885</v>
      </c>
    </row>
    <row r="64" spans="8:8" x14ac:dyDescent="0.25">
      <c r="H64" t="s">
        <v>886</v>
      </c>
    </row>
    <row r="65" spans="8:8" x14ac:dyDescent="0.25">
      <c r="H65" t="s">
        <v>887</v>
      </c>
    </row>
    <row r="66" spans="8:8" x14ac:dyDescent="0.25">
      <c r="H66" t="s">
        <v>888</v>
      </c>
    </row>
    <row r="67" spans="8:8" x14ac:dyDescent="0.25">
      <c r="H67" t="s">
        <v>889</v>
      </c>
    </row>
    <row r="68" spans="8:8" x14ac:dyDescent="0.25">
      <c r="H68" t="s">
        <v>890</v>
      </c>
    </row>
    <row r="69" spans="8:8" x14ac:dyDescent="0.25">
      <c r="H69" t="s">
        <v>891</v>
      </c>
    </row>
    <row r="70" spans="8:8" x14ac:dyDescent="0.25">
      <c r="H70" t="s">
        <v>892</v>
      </c>
    </row>
    <row r="71" spans="8:8" x14ac:dyDescent="0.25">
      <c r="H71" t="s">
        <v>893</v>
      </c>
    </row>
    <row r="72" spans="8:8" x14ac:dyDescent="0.25">
      <c r="H72" t="s">
        <v>894</v>
      </c>
    </row>
    <row r="74" spans="8:8" x14ac:dyDescent="0.25">
      <c r="H74" t="s">
        <v>895</v>
      </c>
    </row>
    <row r="75" spans="8:8" x14ac:dyDescent="0.25">
      <c r="H75" t="s">
        <v>896</v>
      </c>
    </row>
    <row r="76" spans="8:8" x14ac:dyDescent="0.25">
      <c r="H76" t="s">
        <v>897</v>
      </c>
    </row>
    <row r="77" spans="8:8" x14ac:dyDescent="0.25">
      <c r="H77" t="s">
        <v>948</v>
      </c>
    </row>
    <row r="78" spans="8:8" x14ac:dyDescent="0.25">
      <c r="H78" t="s">
        <v>898</v>
      </c>
    </row>
    <row r="80" spans="8:8" x14ac:dyDescent="0.25">
      <c r="H80" t="s">
        <v>899</v>
      </c>
    </row>
    <row r="81" spans="8:8" x14ac:dyDescent="0.25">
      <c r="H81" t="s">
        <v>900</v>
      </c>
    </row>
    <row r="82" spans="8:8" x14ac:dyDescent="0.25">
      <c r="H82" t="s">
        <v>901</v>
      </c>
    </row>
    <row r="83" spans="8:8" x14ac:dyDescent="0.25">
      <c r="H83" t="s">
        <v>902</v>
      </c>
    </row>
    <row r="85" spans="8:8" x14ac:dyDescent="0.25">
      <c r="H85" t="s">
        <v>903</v>
      </c>
    </row>
    <row r="86" spans="8:8" x14ac:dyDescent="0.25">
      <c r="H86" t="s">
        <v>904</v>
      </c>
    </row>
    <row r="87" spans="8:8" x14ac:dyDescent="0.25">
      <c r="H87" t="s">
        <v>905</v>
      </c>
    </row>
    <row r="88" spans="8:8" x14ac:dyDescent="0.25">
      <c r="H88" t="s">
        <v>906</v>
      </c>
    </row>
    <row r="89" spans="8:8" x14ac:dyDescent="0.25">
      <c r="H89" t="s">
        <v>907</v>
      </c>
    </row>
    <row r="90" spans="8:8" x14ac:dyDescent="0.25">
      <c r="H90" t="s">
        <v>908</v>
      </c>
    </row>
    <row r="91" spans="8:8" x14ac:dyDescent="0.25">
      <c r="H91" t="s">
        <v>909</v>
      </c>
    </row>
    <row r="92" spans="8:8" x14ac:dyDescent="0.25">
      <c r="H92" t="s">
        <v>1045</v>
      </c>
    </row>
    <row r="93" spans="8:8" x14ac:dyDescent="0.25">
      <c r="H93" t="s">
        <v>1046</v>
      </c>
    </row>
    <row r="94" spans="8:8" x14ac:dyDescent="0.25">
      <c r="H94" t="s">
        <v>910</v>
      </c>
    </row>
    <row r="95" spans="8:8" x14ac:dyDescent="0.25">
      <c r="H95" t="s">
        <v>911</v>
      </c>
    </row>
    <row r="96" spans="8:8" x14ac:dyDescent="0.25">
      <c r="H96" t="s">
        <v>912</v>
      </c>
    </row>
    <row r="97" spans="8:8" x14ac:dyDescent="0.25">
      <c r="H97" t="s">
        <v>913</v>
      </c>
    </row>
    <row r="98" spans="8:8" x14ac:dyDescent="0.25">
      <c r="H98" t="s">
        <v>914</v>
      </c>
    </row>
    <row r="99" spans="8:8" x14ac:dyDescent="0.25">
      <c r="H99" t="s">
        <v>915</v>
      </c>
    </row>
    <row r="100" spans="8:8" x14ac:dyDescent="0.25">
      <c r="H100" t="s">
        <v>916</v>
      </c>
    </row>
    <row r="101" spans="8:8" x14ac:dyDescent="0.25">
      <c r="H101" t="s">
        <v>917</v>
      </c>
    </row>
    <row r="102" spans="8:8" x14ac:dyDescent="0.25">
      <c r="H102" t="s">
        <v>918</v>
      </c>
    </row>
    <row r="103" spans="8:8" x14ac:dyDescent="0.25">
      <c r="H103" t="s">
        <v>919</v>
      </c>
    </row>
    <row r="105" spans="8:8" x14ac:dyDescent="0.25">
      <c r="H105" t="s">
        <v>1047</v>
      </c>
    </row>
    <row r="106" spans="8:8" x14ac:dyDescent="0.25">
      <c r="H106" t="s">
        <v>1048</v>
      </c>
    </row>
    <row r="107" spans="8:8" x14ac:dyDescent="0.25">
      <c r="H107" t="s">
        <v>1049</v>
      </c>
    </row>
    <row r="108" spans="8:8" x14ac:dyDescent="0.25">
      <c r="H108" t="s">
        <v>1050</v>
      </c>
    </row>
    <row r="109" spans="8:8" x14ac:dyDescent="0.25">
      <c r="H109" t="s">
        <v>1051</v>
      </c>
    </row>
    <row r="110" spans="8:8" x14ac:dyDescent="0.25">
      <c r="H110" t="s">
        <v>1052</v>
      </c>
    </row>
    <row r="111" spans="8:8" x14ac:dyDescent="0.25">
      <c r="H111" t="s">
        <v>1053</v>
      </c>
    </row>
    <row r="113" spans="8:8" x14ac:dyDescent="0.25">
      <c r="H113" t="s">
        <v>1054</v>
      </c>
    </row>
    <row r="114" spans="8:8" x14ac:dyDescent="0.25">
      <c r="H114" t="s">
        <v>1055</v>
      </c>
    </row>
    <row r="115" spans="8:8" x14ac:dyDescent="0.25">
      <c r="H115" t="s">
        <v>1056</v>
      </c>
    </row>
    <row r="116" spans="8:8" x14ac:dyDescent="0.25">
      <c r="H116" t="s">
        <v>1057</v>
      </c>
    </row>
    <row r="117" spans="8:8" x14ac:dyDescent="0.25">
      <c r="H117" t="s">
        <v>1058</v>
      </c>
    </row>
    <row r="119" spans="8:8" x14ac:dyDescent="0.25">
      <c r="H119" t="s">
        <v>920</v>
      </c>
    </row>
    <row r="120" spans="8:8" x14ac:dyDescent="0.25">
      <c r="H120" t="s">
        <v>921</v>
      </c>
    </row>
    <row r="121" spans="8:8" x14ac:dyDescent="0.25">
      <c r="H121" t="s">
        <v>922</v>
      </c>
    </row>
    <row r="122" spans="8:8" x14ac:dyDescent="0.25">
      <c r="H122" t="s">
        <v>923</v>
      </c>
    </row>
    <row r="123" spans="8:8" x14ac:dyDescent="0.25">
      <c r="H123" t="s">
        <v>924</v>
      </c>
    </row>
    <row r="125" spans="8:8" x14ac:dyDescent="0.25">
      <c r="H125" t="s">
        <v>118</v>
      </c>
    </row>
    <row r="126" spans="8:8" x14ac:dyDescent="0.25">
      <c r="H126" t="s">
        <v>925</v>
      </c>
    </row>
    <row r="127" spans="8:8" x14ac:dyDescent="0.25">
      <c r="H127" t="s">
        <v>926</v>
      </c>
    </row>
    <row r="128" spans="8:8" x14ac:dyDescent="0.25">
      <c r="H128" t="s">
        <v>927</v>
      </c>
    </row>
    <row r="129" spans="8:8" x14ac:dyDescent="0.25">
      <c r="H129" t="s">
        <v>928</v>
      </c>
    </row>
    <row r="130" spans="8:8" x14ac:dyDescent="0.25">
      <c r="H130" t="s">
        <v>929</v>
      </c>
    </row>
    <row r="131" spans="8:8" x14ac:dyDescent="0.25">
      <c r="H131" t="s">
        <v>930</v>
      </c>
    </row>
    <row r="132" spans="8:8" x14ac:dyDescent="0.25">
      <c r="H132" t="s">
        <v>931</v>
      </c>
    </row>
    <row r="133" spans="8:8" x14ac:dyDescent="0.25">
      <c r="H133" t="s">
        <v>932</v>
      </c>
    </row>
    <row r="134" spans="8:8" x14ac:dyDescent="0.25">
      <c r="H134" t="s">
        <v>933</v>
      </c>
    </row>
    <row r="135" spans="8:8" x14ac:dyDescent="0.25">
      <c r="H135" t="s">
        <v>934</v>
      </c>
    </row>
    <row r="136" spans="8:8" x14ac:dyDescent="0.25">
      <c r="H136" t="s">
        <v>935</v>
      </c>
    </row>
    <row r="137" spans="8:8" x14ac:dyDescent="0.25">
      <c r="H137" t="s">
        <v>936</v>
      </c>
    </row>
    <row r="138" spans="8:8" x14ac:dyDescent="0.25">
      <c r="H138" t="s">
        <v>1059</v>
      </c>
    </row>
    <row r="139" spans="8:8" x14ac:dyDescent="0.25">
      <c r="H139" t="s">
        <v>1060</v>
      </c>
    </row>
    <row r="140" spans="8:8" x14ac:dyDescent="0.25">
      <c r="H140" t="s">
        <v>937</v>
      </c>
    </row>
    <row r="141" spans="8:8" x14ac:dyDescent="0.25">
      <c r="H141" t="s">
        <v>938</v>
      </c>
    </row>
    <row r="142" spans="8:8" x14ac:dyDescent="0.25">
      <c r="H142" s="13" t="s">
        <v>102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2021-03-12T17:35:24Z</dcterms:modified>
</cp:coreProperties>
</file>